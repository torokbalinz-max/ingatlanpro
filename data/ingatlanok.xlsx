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FB328363-E589-4DFD-9B91-0B1385231D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  <sheet name="Munk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57" i="1"/>
  <c r="C158" i="1"/>
  <c r="C159" i="1"/>
  <c r="C160" i="1"/>
  <c r="C161" i="1"/>
  <c r="C162" i="1"/>
  <c r="C163" i="1"/>
  <c r="C164" i="1"/>
  <c r="C165" i="1"/>
  <c r="C166" i="1"/>
  <c r="G157" i="1"/>
  <c r="G158" i="1"/>
  <c r="G159" i="1"/>
  <c r="G160" i="1"/>
  <c r="G161" i="1"/>
  <c r="G162" i="1"/>
  <c r="G163" i="1"/>
  <c r="G164" i="1"/>
  <c r="G165" i="1"/>
  <c r="G166" i="1"/>
  <c r="H157" i="1"/>
  <c r="H158" i="1"/>
  <c r="H159" i="1"/>
  <c r="H160" i="1"/>
  <c r="H161" i="1"/>
  <c r="H162" i="1"/>
  <c r="H163" i="1"/>
  <c r="H164" i="1"/>
  <c r="H165" i="1"/>
  <c r="H166" i="1"/>
  <c r="M157" i="1"/>
  <c r="M158" i="1"/>
  <c r="M159" i="1"/>
  <c r="M160" i="1"/>
  <c r="M161" i="1"/>
  <c r="M162" i="1"/>
  <c r="M163" i="1"/>
  <c r="M164" i="1"/>
  <c r="M165" i="1"/>
  <c r="M166" i="1"/>
  <c r="N157" i="1"/>
  <c r="N158" i="1"/>
  <c r="N159" i="1"/>
  <c r="N160" i="1"/>
  <c r="N161" i="1"/>
  <c r="N162" i="1"/>
  <c r="N163" i="1"/>
  <c r="N164" i="1"/>
  <c r="N165" i="1"/>
  <c r="N166" i="1"/>
  <c r="O157" i="1"/>
  <c r="J157" i="1" s="1"/>
  <c r="O158" i="1"/>
  <c r="J158" i="1" s="1"/>
  <c r="O159" i="1"/>
  <c r="J159" i="1" s="1"/>
  <c r="O160" i="1"/>
  <c r="J160" i="1" s="1"/>
  <c r="O161" i="1"/>
  <c r="J161" i="1" s="1"/>
  <c r="O162" i="1"/>
  <c r="J162" i="1" s="1"/>
  <c r="O163" i="1"/>
  <c r="J163" i="1" s="1"/>
  <c r="O164" i="1"/>
  <c r="J164" i="1" s="1"/>
  <c r="O165" i="1"/>
  <c r="J165" i="1" s="1"/>
  <c r="O166" i="1"/>
  <c r="J166" i="1" s="1"/>
  <c r="C156" i="1"/>
  <c r="G156" i="1"/>
  <c r="H156" i="1"/>
  <c r="M156" i="1"/>
  <c r="N156" i="1"/>
  <c r="O156" i="1"/>
  <c r="J156" i="1" s="1"/>
  <c r="C155" i="1"/>
  <c r="G155" i="1"/>
  <c r="H155" i="1"/>
  <c r="M155" i="1"/>
  <c r="N155" i="1"/>
  <c r="O155" i="1"/>
  <c r="J155" i="1" s="1"/>
  <c r="C110" i="1"/>
  <c r="C118" i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1" i="1"/>
  <c r="C112" i="1"/>
  <c r="C113" i="1"/>
  <c r="C114" i="1"/>
  <c r="C115" i="1"/>
  <c r="C116" i="1"/>
  <c r="C117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G153" i="1"/>
  <c r="G154" i="1"/>
  <c r="G152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H134" i="1"/>
  <c r="H135" i="1"/>
  <c r="H137" i="1"/>
  <c r="H138" i="1"/>
  <c r="H139" i="1"/>
  <c r="H140" i="1"/>
  <c r="H145" i="1"/>
  <c r="H151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G98" i="1"/>
  <c r="G99" i="1"/>
  <c r="H98" i="1"/>
  <c r="H99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G30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B178" i="1" l="1"/>
  <c r="N154" i="1"/>
  <c r="O154" i="1"/>
  <c r="J154" i="1" s="1"/>
  <c r="N153" i="1"/>
  <c r="O153" i="1"/>
  <c r="J153" i="1" s="1"/>
  <c r="N152" i="1"/>
  <c r="O152" i="1"/>
  <c r="J152" i="1" s="1"/>
  <c r="N151" i="1"/>
  <c r="O151" i="1"/>
  <c r="J151" i="1" s="1"/>
  <c r="N150" i="1"/>
  <c r="O150" i="1"/>
  <c r="J150" i="1" s="1"/>
  <c r="N149" i="1"/>
  <c r="O149" i="1"/>
  <c r="J149" i="1" s="1"/>
  <c r="N148" i="1"/>
  <c r="O148" i="1"/>
  <c r="J148" i="1" s="1"/>
  <c r="N147" i="1"/>
  <c r="O147" i="1"/>
  <c r="J147" i="1" s="1"/>
  <c r="N146" i="1"/>
  <c r="O146" i="1"/>
  <c r="J146" i="1" s="1"/>
  <c r="N145" i="1"/>
  <c r="O145" i="1"/>
  <c r="J145" i="1" s="1"/>
  <c r="N144" i="1"/>
  <c r="O144" i="1"/>
  <c r="J144" i="1" s="1"/>
  <c r="N143" i="1"/>
  <c r="O143" i="1"/>
  <c r="J143" i="1" s="1"/>
  <c r="N142" i="1"/>
  <c r="O142" i="1"/>
  <c r="J142" i="1" s="1"/>
  <c r="N141" i="1"/>
  <c r="O141" i="1"/>
  <c r="J141" i="1" s="1"/>
  <c r="N140" i="1"/>
  <c r="O140" i="1"/>
  <c r="J140" i="1" s="1"/>
  <c r="N139" i="1"/>
  <c r="O139" i="1"/>
  <c r="J139" i="1" s="1"/>
  <c r="N138" i="1"/>
  <c r="O138" i="1"/>
  <c r="J138" i="1" s="1"/>
  <c r="N137" i="1"/>
  <c r="O137" i="1"/>
  <c r="J137" i="1" s="1"/>
  <c r="N136" i="1"/>
  <c r="O136" i="1"/>
  <c r="J136" i="1" s="1"/>
  <c r="N135" i="1"/>
  <c r="O135" i="1"/>
  <c r="J135" i="1" s="1"/>
  <c r="N134" i="1"/>
  <c r="O134" i="1"/>
  <c r="J134" i="1" s="1"/>
  <c r="N133" i="1"/>
  <c r="O133" i="1"/>
  <c r="J133" i="1" s="1"/>
  <c r="N132" i="1"/>
  <c r="O132" i="1"/>
  <c r="J132" i="1" s="1"/>
  <c r="N131" i="1"/>
  <c r="O131" i="1"/>
  <c r="J131" i="1" s="1"/>
  <c r="N130" i="1"/>
  <c r="O130" i="1"/>
  <c r="J130" i="1" s="1"/>
  <c r="N129" i="1"/>
  <c r="O129" i="1"/>
  <c r="J129" i="1" s="1"/>
  <c r="N128" i="1"/>
  <c r="O128" i="1"/>
  <c r="J128" i="1" s="1"/>
  <c r="N127" i="1"/>
  <c r="O127" i="1"/>
  <c r="J127" i="1" s="1"/>
  <c r="N126" i="1"/>
  <c r="O126" i="1"/>
  <c r="J126" i="1" s="1"/>
  <c r="N125" i="1"/>
  <c r="O125" i="1"/>
  <c r="J125" i="1" s="1"/>
  <c r="N124" i="1"/>
  <c r="O124" i="1"/>
  <c r="J124" i="1" s="1"/>
  <c r="N123" i="1"/>
  <c r="O123" i="1"/>
  <c r="J123" i="1" s="1"/>
  <c r="N122" i="1"/>
  <c r="O122" i="1"/>
  <c r="J122" i="1" s="1"/>
  <c r="N121" i="1"/>
  <c r="O121" i="1"/>
  <c r="J121" i="1" s="1"/>
  <c r="N120" i="1"/>
  <c r="O120" i="1"/>
  <c r="J120" i="1" s="1"/>
  <c r="N119" i="1"/>
  <c r="O119" i="1"/>
  <c r="J119" i="1" s="1"/>
  <c r="N118" i="1"/>
  <c r="O118" i="1"/>
  <c r="J118" i="1" s="1"/>
  <c r="N117" i="1"/>
  <c r="O117" i="1"/>
  <c r="J117" i="1" s="1"/>
  <c r="N116" i="1"/>
  <c r="O116" i="1"/>
  <c r="J116" i="1" s="1"/>
  <c r="N115" i="1"/>
  <c r="O115" i="1"/>
  <c r="J115" i="1" s="1"/>
  <c r="N114" i="1"/>
  <c r="O114" i="1"/>
  <c r="J114" i="1" s="1"/>
  <c r="N113" i="1"/>
  <c r="O113" i="1"/>
  <c r="J113" i="1" s="1"/>
  <c r="N112" i="1"/>
  <c r="O112" i="1"/>
  <c r="J112" i="1" s="1"/>
  <c r="N111" i="1"/>
  <c r="O111" i="1"/>
  <c r="J111" i="1" s="1"/>
  <c r="N110" i="1"/>
  <c r="O110" i="1"/>
  <c r="J110" i="1" s="1"/>
  <c r="N109" i="1"/>
  <c r="O109" i="1"/>
  <c r="J109" i="1" s="1"/>
  <c r="N108" i="1"/>
  <c r="O108" i="1"/>
  <c r="J108" i="1" s="1"/>
  <c r="N107" i="1"/>
  <c r="O107" i="1"/>
  <c r="J107" i="1" s="1"/>
  <c r="N106" i="1"/>
  <c r="O106" i="1"/>
  <c r="J106" i="1" s="1"/>
  <c r="N105" i="1"/>
  <c r="O105" i="1"/>
  <c r="J105" i="1" s="1"/>
  <c r="N104" i="1"/>
  <c r="O104" i="1"/>
  <c r="J104" i="1" s="1"/>
  <c r="N103" i="1"/>
  <c r="O103" i="1"/>
  <c r="J103" i="1" s="1"/>
  <c r="N102" i="1"/>
  <c r="O102" i="1"/>
  <c r="J102" i="1" s="1"/>
  <c r="N101" i="1"/>
  <c r="O101" i="1"/>
  <c r="J101" i="1" s="1"/>
  <c r="N100" i="1"/>
  <c r="O100" i="1"/>
  <c r="J100" i="1" s="1"/>
  <c r="N99" i="1"/>
  <c r="O99" i="1"/>
  <c r="J99" i="1" s="1"/>
  <c r="N98" i="1"/>
  <c r="O98" i="1"/>
  <c r="J98" i="1" s="1"/>
  <c r="N97" i="1"/>
  <c r="O97" i="1"/>
  <c r="J97" i="1" s="1"/>
  <c r="N96" i="1"/>
  <c r="O96" i="1"/>
  <c r="J96" i="1" s="1"/>
  <c r="N95" i="1"/>
  <c r="O95" i="1"/>
  <c r="J95" i="1" s="1"/>
  <c r="N94" i="1"/>
  <c r="O94" i="1"/>
  <c r="J94" i="1" s="1"/>
  <c r="N93" i="1"/>
  <c r="O93" i="1"/>
  <c r="J93" i="1" s="1"/>
  <c r="N92" i="1"/>
  <c r="O92" i="1"/>
  <c r="J92" i="1" s="1"/>
  <c r="N91" i="1"/>
  <c r="O91" i="1"/>
  <c r="J91" i="1" s="1"/>
  <c r="N90" i="1"/>
  <c r="O90" i="1"/>
  <c r="J90" i="1" s="1"/>
  <c r="N89" i="1"/>
  <c r="O89" i="1"/>
  <c r="J89" i="1" s="1"/>
  <c r="N88" i="1"/>
  <c r="O88" i="1"/>
  <c r="J88" i="1" s="1"/>
  <c r="N87" i="1"/>
  <c r="O87" i="1"/>
  <c r="J87" i="1" s="1"/>
  <c r="N86" i="1"/>
  <c r="O86" i="1"/>
  <c r="J86" i="1" s="1"/>
  <c r="N85" i="1"/>
  <c r="O85" i="1"/>
  <c r="J85" i="1" s="1"/>
  <c r="N84" i="1"/>
  <c r="O84" i="1"/>
  <c r="J84" i="1" s="1"/>
  <c r="N83" i="1"/>
  <c r="O83" i="1"/>
  <c r="J83" i="1" s="1"/>
  <c r="N82" i="1"/>
  <c r="O82" i="1"/>
  <c r="J82" i="1" s="1"/>
  <c r="N81" i="1"/>
  <c r="O81" i="1"/>
  <c r="J81" i="1" s="1"/>
  <c r="N80" i="1"/>
  <c r="O80" i="1"/>
  <c r="J80" i="1" s="1"/>
  <c r="N79" i="1"/>
  <c r="O79" i="1"/>
  <c r="J79" i="1" s="1"/>
  <c r="N78" i="1"/>
  <c r="O78" i="1"/>
  <c r="J78" i="1" s="1"/>
  <c r="N77" i="1"/>
  <c r="O77" i="1"/>
  <c r="J77" i="1" s="1"/>
  <c r="N76" i="1"/>
  <c r="O76" i="1"/>
  <c r="J76" i="1" s="1"/>
  <c r="N75" i="1"/>
  <c r="O75" i="1"/>
  <c r="J75" i="1" s="1"/>
  <c r="N74" i="1"/>
  <c r="O74" i="1"/>
  <c r="J74" i="1" s="1"/>
  <c r="N73" i="1"/>
  <c r="O73" i="1"/>
  <c r="J73" i="1" s="1"/>
  <c r="N72" i="1"/>
  <c r="O72" i="1"/>
  <c r="J72" i="1" s="1"/>
  <c r="N71" i="1"/>
  <c r="O71" i="1"/>
  <c r="J71" i="1" s="1"/>
  <c r="N70" i="1"/>
  <c r="O70" i="1"/>
  <c r="J70" i="1" s="1"/>
  <c r="N69" i="1"/>
  <c r="O69" i="1"/>
  <c r="J69" i="1" s="1"/>
  <c r="N68" i="1"/>
  <c r="O68" i="1"/>
  <c r="J68" i="1" s="1"/>
  <c r="N67" i="1"/>
  <c r="O67" i="1"/>
  <c r="J67" i="1" s="1"/>
  <c r="N66" i="1"/>
  <c r="O66" i="1"/>
  <c r="J66" i="1" s="1"/>
  <c r="N65" i="1"/>
  <c r="O65" i="1"/>
  <c r="J65" i="1" s="1"/>
  <c r="N64" i="1"/>
  <c r="O64" i="1"/>
  <c r="J64" i="1" s="1"/>
  <c r="N63" i="1"/>
  <c r="O63" i="1"/>
  <c r="J63" i="1" s="1"/>
  <c r="N62" i="1"/>
  <c r="O62" i="1"/>
  <c r="J62" i="1" s="1"/>
  <c r="N61" i="1"/>
  <c r="O61" i="1"/>
  <c r="J61" i="1" s="1"/>
  <c r="N60" i="1"/>
  <c r="O60" i="1"/>
  <c r="J60" i="1" s="1"/>
  <c r="N59" i="1"/>
  <c r="O59" i="1"/>
  <c r="J59" i="1" s="1"/>
  <c r="N58" i="1"/>
  <c r="O58" i="1"/>
  <c r="J58" i="1" s="1"/>
  <c r="N57" i="1"/>
  <c r="O57" i="1"/>
  <c r="J57" i="1" s="1"/>
  <c r="N56" i="1"/>
  <c r="O56" i="1"/>
  <c r="J56" i="1" s="1"/>
  <c r="N55" i="1"/>
  <c r="O55" i="1"/>
  <c r="J55" i="1" s="1"/>
  <c r="N54" i="1"/>
  <c r="O54" i="1"/>
  <c r="J54" i="1" s="1"/>
  <c r="N53" i="1"/>
  <c r="O53" i="1"/>
  <c r="J53" i="1" s="1"/>
  <c r="N52" i="1"/>
  <c r="O52" i="1"/>
  <c r="J52" i="1" s="1"/>
  <c r="N51" i="1"/>
  <c r="O51" i="1"/>
  <c r="J51" i="1" s="1"/>
  <c r="N50" i="1"/>
  <c r="O50" i="1"/>
  <c r="J50" i="1" s="1"/>
  <c r="N49" i="1"/>
  <c r="O49" i="1"/>
  <c r="J49" i="1" s="1"/>
  <c r="N48" i="1"/>
  <c r="O48" i="1"/>
  <c r="J48" i="1" s="1"/>
  <c r="N47" i="1"/>
  <c r="O47" i="1"/>
  <c r="J47" i="1" s="1"/>
  <c r="N46" i="1"/>
  <c r="O46" i="1"/>
  <c r="J46" i="1" s="1"/>
  <c r="N45" i="1"/>
  <c r="O45" i="1"/>
  <c r="J45" i="1" s="1"/>
  <c r="N44" i="1"/>
  <c r="O44" i="1"/>
  <c r="J44" i="1" s="1"/>
  <c r="N43" i="1"/>
  <c r="O43" i="1"/>
  <c r="J43" i="1" s="1"/>
  <c r="N42" i="1"/>
  <c r="O42" i="1"/>
  <c r="J42" i="1" s="1"/>
  <c r="N41" i="1"/>
  <c r="O41" i="1"/>
  <c r="J41" i="1" s="1"/>
  <c r="N40" i="1"/>
  <c r="O40" i="1"/>
  <c r="J40" i="1" s="1"/>
  <c r="N39" i="1"/>
  <c r="O39" i="1"/>
  <c r="J39" i="1" s="1"/>
  <c r="N38" i="1"/>
  <c r="O38" i="1"/>
  <c r="J38" i="1" s="1"/>
  <c r="N37" i="1"/>
  <c r="O37" i="1"/>
  <c r="J37" i="1" s="1"/>
  <c r="N36" i="1"/>
  <c r="O36" i="1"/>
  <c r="J36" i="1" s="1"/>
  <c r="N35" i="1"/>
  <c r="O35" i="1"/>
  <c r="J35" i="1" s="1"/>
  <c r="N34" i="1"/>
  <c r="O34" i="1"/>
  <c r="J34" i="1" s="1"/>
  <c r="N33" i="1"/>
  <c r="O33" i="1"/>
  <c r="J33" i="1" s="1"/>
  <c r="N32" i="1"/>
  <c r="O32" i="1"/>
  <c r="J32" i="1" s="1"/>
  <c r="N31" i="1"/>
  <c r="O31" i="1"/>
  <c r="J31" i="1" s="1"/>
  <c r="N30" i="1"/>
  <c r="O30" i="1"/>
  <c r="J30" i="1" s="1"/>
  <c r="N29" i="1"/>
  <c r="O29" i="1"/>
  <c r="J29" i="1" s="1"/>
  <c r="N28" i="1"/>
  <c r="O28" i="1"/>
  <c r="J28" i="1" s="1"/>
  <c r="N27" i="1"/>
  <c r="O27" i="1"/>
  <c r="J27" i="1" s="1"/>
  <c r="N26" i="1"/>
  <c r="O26" i="1"/>
  <c r="J26" i="1" s="1"/>
  <c r="N25" i="1"/>
  <c r="O25" i="1"/>
  <c r="J25" i="1" s="1"/>
  <c r="N24" i="1"/>
  <c r="O24" i="1"/>
  <c r="J24" i="1" s="1"/>
  <c r="N23" i="1"/>
  <c r="O23" i="1"/>
  <c r="J23" i="1" s="1"/>
  <c r="N22" i="1"/>
  <c r="O22" i="1"/>
  <c r="J22" i="1" s="1"/>
  <c r="N21" i="1"/>
  <c r="O21" i="1"/>
  <c r="J21" i="1" s="1"/>
  <c r="N20" i="1"/>
  <c r="O20" i="1"/>
  <c r="J20" i="1" s="1"/>
  <c r="N19" i="1"/>
  <c r="O19" i="1"/>
  <c r="J19" i="1" s="1"/>
  <c r="N18" i="1"/>
  <c r="O18" i="1"/>
  <c r="J18" i="1" s="1"/>
  <c r="N17" i="1"/>
  <c r="O17" i="1"/>
  <c r="J17" i="1" s="1"/>
  <c r="N16" i="1"/>
  <c r="O16" i="1"/>
  <c r="J16" i="1" s="1"/>
  <c r="N15" i="1"/>
  <c r="O15" i="1"/>
  <c r="J15" i="1" s="1"/>
  <c r="N14" i="1"/>
  <c r="O14" i="1"/>
  <c r="J14" i="1" s="1"/>
  <c r="N13" i="1"/>
  <c r="O13" i="1"/>
  <c r="J13" i="1" s="1"/>
  <c r="N12" i="1"/>
  <c r="O12" i="1"/>
  <c r="J12" i="1" s="1"/>
  <c r="N11" i="1"/>
  <c r="O11" i="1"/>
  <c r="J11" i="1" s="1"/>
  <c r="N10" i="1"/>
  <c r="O10" i="1"/>
  <c r="J10" i="1" s="1"/>
  <c r="N9" i="1"/>
  <c r="O9" i="1"/>
  <c r="J9" i="1" s="1"/>
  <c r="N8" i="1"/>
  <c r="O8" i="1"/>
  <c r="J8" i="1" s="1"/>
  <c r="N7" i="1"/>
  <c r="O7" i="1"/>
  <c r="J7" i="1" s="1"/>
  <c r="N6" i="1"/>
  <c r="O6" i="1"/>
  <c r="J6" i="1" s="1"/>
  <c r="N5" i="1"/>
  <c r="O5" i="1"/>
  <c r="J5" i="1" s="1"/>
  <c r="N4" i="1"/>
  <c r="O4" i="1"/>
  <c r="J4" i="1" s="1"/>
  <c r="N3" i="1"/>
  <c r="O3" i="1"/>
  <c r="J3" i="1" s="1"/>
  <c r="J2" i="1"/>
  <c r="E185" i="1"/>
  <c r="B185" i="1"/>
  <c r="E184" i="1"/>
  <c r="E183" i="1"/>
  <c r="B184" i="1"/>
  <c r="B183" i="1"/>
  <c r="B181" i="1"/>
  <c r="B180" i="1"/>
  <c r="B179" i="1"/>
</calcChain>
</file>

<file path=xl/sharedStrings.xml><?xml version="1.0" encoding="utf-8"?>
<sst xmlns="http://schemas.openxmlformats.org/spreadsheetml/2006/main" count="954" uniqueCount="682">
  <si>
    <t>Sorszám</t>
  </si>
  <si>
    <t>Link</t>
  </si>
  <si>
    <t>megnyitas</t>
  </si>
  <si>
    <t>Térképjelölés</t>
  </si>
  <si>
    <t>Ár</t>
  </si>
  <si>
    <t>Nm</t>
  </si>
  <si>
    <t>Ár/nm</t>
  </si>
  <si>
    <t>szobaszám</t>
  </si>
  <si>
    <t>emelet</t>
  </si>
  <si>
    <t>koordinata</t>
  </si>
  <si>
    <t>eladva</t>
  </si>
  <si>
    <t>állapot</t>
  </si>
  <si>
    <t>azonosito</t>
  </si>
  <si>
    <t>X</t>
  </si>
  <si>
    <t>Y</t>
  </si>
  <si>
    <t>ismétlések</t>
  </si>
  <si>
    <t>X_1</t>
  </si>
  <si>
    <t>Y_1</t>
  </si>
  <si>
    <t>azonosito_1</t>
  </si>
  <si>
    <t>https://www.imoradar24.ro/oferta/apartament-de-vanzare-sfantu-gheorghe-central-5-camere-1178359</t>
  </si>
  <si>
    <t>4/4</t>
  </si>
  <si>
    <t>felújítandó</t>
  </si>
  <si>
    <t>25.79935</t>
  </si>
  <si>
    <t>45.85901</t>
  </si>
  <si>
    <t>25.7980647</t>
  </si>
  <si>
    <t>45.859225</t>
  </si>
  <si>
    <t>f1</t>
  </si>
  <si>
    <t>https://www.imobiliare.ro/oferta/apartament-de-vanzare-sfantu-gheorghe-central-mobilat-3-camere-274490524</t>
  </si>
  <si>
    <t>1/4</t>
  </si>
  <si>
    <t>jó</t>
  </si>
  <si>
    <t>25.773417</t>
  </si>
  <si>
    <t>45.8600449</t>
  </si>
  <si>
    <t>f2</t>
  </si>
  <si>
    <t>https://www.imobiliare.ro/oferta/apartament-de-vanzare-sfantu-gheorghe-spitalului-3-camere-272140030</t>
  </si>
  <si>
    <t>7/11</t>
  </si>
  <si>
    <t>25.7776621</t>
  </si>
  <si>
    <t>45.8574415</t>
  </si>
  <si>
    <t>f3</t>
  </si>
  <si>
    <t>https://www.imoradar24.ro/oferta/apartament-de-vanzare-sfantu-gheorghe-central-3-camere-1593735</t>
  </si>
  <si>
    <t>2/2</t>
  </si>
  <si>
    <t>25.7732964</t>
  </si>
  <si>
    <t>45.8601096</t>
  </si>
  <si>
    <t>f4</t>
  </si>
  <si>
    <t>https://www.imobiliare.ro/oferta/apartament-de-vanzare-sfantu-gheorghe-lenin-4-camere-275490104</t>
  </si>
  <si>
    <t>25.7964697</t>
  </si>
  <si>
    <t>45.863888</t>
  </si>
  <si>
    <t>f5</t>
  </si>
  <si>
    <t>https://www.imoradar24.ro/oferta/apartament-de-vanzare-sfantu-gheorghe-sud-5-camere-1178359</t>
  </si>
  <si>
    <t>25.7790007</t>
  </si>
  <si>
    <t>45.8629576</t>
  </si>
  <si>
    <t>f6</t>
  </si>
  <si>
    <t>https://www.imobiliare.ro/oferta/apartament-de-vanzare-sfantu-gheorghe-lenin-2-camere-271115868?utm_source=imoradar24.ro&amp;utm_medium=cpc&amp;utm_campaign=%5BSRC%5D+%5BBrand%5D</t>
  </si>
  <si>
    <t>1/3</t>
  </si>
  <si>
    <t>új</t>
  </si>
  <si>
    <t>25.8015964</t>
  </si>
  <si>
    <t>45.8638707</t>
  </si>
  <si>
    <t>f7</t>
  </si>
  <si>
    <t>https://www.imobiliare.ro/oferta/apartament-de-vanzare-sfantu-gheorghe-central-mobilat-3-camere-275603518?utm_source=imoradar24.ro&amp;utm_medium=cpc&amp;utm_campaign=%5BSRC%5D+%5BBrand%5D</t>
  </si>
  <si>
    <t>2/4</t>
  </si>
  <si>
    <t>25.8081943</t>
  </si>
  <si>
    <t>45.8635556</t>
  </si>
  <si>
    <t>f8</t>
  </si>
  <si>
    <t>https://www.imoradar24.ro/oferta/apartament-de-vanzare-sfantu-gheorghe-central-3-camere-1619957</t>
  </si>
  <si>
    <t>részbenfel</t>
  </si>
  <si>
    <t>25.7947869</t>
  </si>
  <si>
    <t>45.8565312</t>
  </si>
  <si>
    <t>f9</t>
  </si>
  <si>
    <t>https://www.imoradar24.ro/oferta/apartament-de-vanzare-sfantu-gheorghe-sud-2-camere-1028471</t>
  </si>
  <si>
    <t>25.7799467</t>
  </si>
  <si>
    <t>45.8580619</t>
  </si>
  <si>
    <t>f10</t>
  </si>
  <si>
    <t>https://www.imoradar24.ro/oferta/apartament-de-vanzare-sfantu-gheorghe-lenin-3-camere-1641502</t>
  </si>
  <si>
    <t>25.7745144</t>
  </si>
  <si>
    <t>45.8596473</t>
  </si>
  <si>
    <t>f11</t>
  </si>
  <si>
    <t>https://www.imoradar24.ro/oferta/apartament-de-vanzare-sfantu-gheorghe-central-4-camere-1509022</t>
  </si>
  <si>
    <t>3/4</t>
  </si>
  <si>
    <t>25.7749498</t>
  </si>
  <si>
    <t>45.8584708</t>
  </si>
  <si>
    <t>f12</t>
  </si>
  <si>
    <t>https://www.imoradar24.ro/oferta/apartament-de-vanzare-sfantu-gheorghe-semicentral-3-camere-1192649</t>
  </si>
  <si>
    <t>25.7998059</t>
  </si>
  <si>
    <t>45.8586772</t>
  </si>
  <si>
    <t>f13</t>
  </si>
  <si>
    <t>https://www.imobiliare.ro/oferta/apartament-de-vanzare-sfantu-gheorghe-simeria-4-camere-275596156?utm_source=imoradar24.ro&amp;utm_medium=cpc&amp;utm_campaign=%5BSRC%5D+%5BBrand%5D</t>
  </si>
  <si>
    <t>25.7999883</t>
  </si>
  <si>
    <t>45.859111</t>
  </si>
  <si>
    <t>f14</t>
  </si>
  <si>
    <t>https://www.imoradar24.ro/oferta/apartament-de-vanzare-sfantu-gheorghe-simeria-3-camere-1200920</t>
  </si>
  <si>
    <t>25.8080227</t>
  </si>
  <si>
    <t>45.8637709</t>
  </si>
  <si>
    <t>f15</t>
  </si>
  <si>
    <t>https://www.imoradar24.ro/oferta/apartament-de-vanzare-sfantu-gheorghe-sud-2-camere-1747091</t>
  </si>
  <si>
    <t>25.774476</t>
  </si>
  <si>
    <t>45.8595879</t>
  </si>
  <si>
    <t>f16</t>
  </si>
  <si>
    <t>https://www.imoradar24.ro/oferta/apartament-de-vanzare-sfantu-gheorghe-simeria-4-camere-1172594</t>
  </si>
  <si>
    <t>25.7917654</t>
  </si>
  <si>
    <t>45.8574339</t>
  </si>
  <si>
    <t>f17</t>
  </si>
  <si>
    <t>https://www.imoradar24.ro/oferta/apartament-de-vanzare-sfantu-gheorghe-garii-3-camere-1474092</t>
  </si>
  <si>
    <t>8/10</t>
  </si>
  <si>
    <t>25.7951967</t>
  </si>
  <si>
    <t>45.8678716</t>
  </si>
  <si>
    <t>f18</t>
  </si>
  <si>
    <t>https://www.imoradar24.ro/oferta/apartament-de-vanzare-sfantu-gheorghe-garii-3-camere-1652099</t>
  </si>
  <si>
    <t>3/8</t>
  </si>
  <si>
    <t>25.7906019</t>
  </si>
  <si>
    <t>45.8570505</t>
  </si>
  <si>
    <t>f19</t>
  </si>
  <si>
    <t>https://www.imoradar24.ro/oferta/apartament-de-vanzare-sfantu-gheorghe-simeria-mobilat-3-camere-467073</t>
  </si>
  <si>
    <t>jó*</t>
  </si>
  <si>
    <t>25.7755766</t>
  </si>
  <si>
    <t>45.8578829</t>
  </si>
  <si>
    <t>f20</t>
  </si>
  <si>
    <t>https://www.imoradar24.ro/oferta/apartament-de-vanzare-sfantu-gheorghe-central-3-camere-1426235</t>
  </si>
  <si>
    <t>0/6</t>
  </si>
  <si>
    <t>25.7978506</t>
  </si>
  <si>
    <t>45.8642355</t>
  </si>
  <si>
    <t>f21</t>
  </si>
  <si>
    <t>https://www.imoradar24.ro/oferta/apartament-de-vanzare-sfantu-gheorghe-simeria-4-camere-874100</t>
  </si>
  <si>
    <t>25.7904514</t>
  </si>
  <si>
    <t>45.8632117</t>
  </si>
  <si>
    <t>f22</t>
  </si>
  <si>
    <t>https://www.imoradar24.ro/oferta/apartament-de-vanzare-sfantu-gheorghe-central-3-camere-1026892</t>
  </si>
  <si>
    <t>7/7</t>
  </si>
  <si>
    <t>25.7903261</t>
  </si>
  <si>
    <t>45.85783</t>
  </si>
  <si>
    <t>f23</t>
  </si>
  <si>
    <t>https://www.imoradar24.ro/oferta/apartament-de-vanzare-sfantu-gheorghe-lenin-mobilat-3-camere-498485</t>
  </si>
  <si>
    <t>0/4</t>
  </si>
  <si>
    <t>25.7753777</t>
  </si>
  <si>
    <t>45.8578462</t>
  </si>
  <si>
    <t>f24</t>
  </si>
  <si>
    <t>https://www.imoradar24.ro/oferta/apartament-de-vanzare-sfantu-gheorghe-lenin-mobilat-3-camere-1368893</t>
  </si>
  <si>
    <t>25.7920652</t>
  </si>
  <si>
    <t>45.8578036</t>
  </si>
  <si>
    <t>f25</t>
  </si>
  <si>
    <t>https://www.imoradar24.ro/oferta/apartament-de-vanzare-sfantu-gheorghe-simeria-mobilat-3-camere-1548998</t>
  </si>
  <si>
    <t>25.8070073</t>
  </si>
  <si>
    <t>45.8644004</t>
  </si>
  <si>
    <t>f26</t>
  </si>
  <si>
    <t>https://www.imoradar24.ro/oferta/apartament-de-vanzare-sfantu-gheorghe-semicentral-3-camere-478197</t>
  </si>
  <si>
    <t>3/7</t>
  </si>
  <si>
    <t>25.774548</t>
  </si>
  <si>
    <t>45.8576758</t>
  </si>
  <si>
    <t>f27</t>
  </si>
  <si>
    <t>https://www.imobiliare.ro/oferta/apartament-de-vanzare-sfantu-gheorghe-simeria-2-camere-274192521</t>
  </si>
  <si>
    <t>10/11</t>
  </si>
  <si>
    <t>25.7981107</t>
  </si>
  <si>
    <t>45.8589646</t>
  </si>
  <si>
    <t>f28</t>
  </si>
  <si>
    <t>https://www.imoradar24.ro/oferta/apartament-de-vanzare-sfantu-gheorghe-ultracentral-2-camere-1364407</t>
  </si>
  <si>
    <t>25.7779503</t>
  </si>
  <si>
    <t>45.8576097</t>
  </si>
  <si>
    <t>f29</t>
  </si>
  <si>
    <t>https://www.imoradar24.ro/oferta/apartament-de-vanzare-sfantu-gheorghe-exterior-sud-2-camere-1776532</t>
  </si>
  <si>
    <t>25.774572</t>
  </si>
  <si>
    <t>45.8576988</t>
  </si>
  <si>
    <t>f30</t>
  </si>
  <si>
    <t>https://www.imobiliare.ro/oferta/apartament-de-vanzare-sfantu-gheorghe-lenin-4-camere-275640475</t>
  </si>
  <si>
    <t>8/8</t>
  </si>
  <si>
    <t>25.7763439</t>
  </si>
  <si>
    <t>45.8583253</t>
  </si>
  <si>
    <t>f31</t>
  </si>
  <si>
    <t>https://www.imobiliare.ro/oferta/apartament-de-vanzare-sfantu-gheorghe-central-mobilat-2-camere-275618001</t>
  </si>
  <si>
    <t>0/3</t>
  </si>
  <si>
    <t>25.7753419</t>
  </si>
  <si>
    <t>45.8588751</t>
  </si>
  <si>
    <t>f32</t>
  </si>
  <si>
    <t>https://www.imobiliare.ro/oferta/apartament-de-vanzare-sfantu-gheorghe-lenin-3-camere-275533187</t>
  </si>
  <si>
    <t>25.7773669</t>
  </si>
  <si>
    <t>45.8611106</t>
  </si>
  <si>
    <t>f33</t>
  </si>
  <si>
    <t>https://www.imoradar24.ro/oferta/apartament-de-vanzare-sfantu-gheorghe-central-2-camere-1592805</t>
  </si>
  <si>
    <t>25.7764458</t>
  </si>
  <si>
    <t>45.858813</t>
  </si>
  <si>
    <t>f34</t>
  </si>
  <si>
    <t>https://www.imoradar24.ro/oferta/apartament-de-vanzare-sfantu-gheorghe-garii-mobilat-3-camere-538143</t>
  </si>
  <si>
    <t>9/10</t>
  </si>
  <si>
    <t>25.776871</t>
  </si>
  <si>
    <t>45.8611504</t>
  </si>
  <si>
    <t>f35</t>
  </si>
  <si>
    <t>https://www.imobiliare.ro/oferta/apartament-de-vanzare-sfantu-gheorghe-garii-3-camere-270162780</t>
  </si>
  <si>
    <t>25.7953089</t>
  </si>
  <si>
    <t>45.862936</t>
  </si>
  <si>
    <t>f36</t>
  </si>
  <si>
    <t>https://www.imoradar24.ro/oferta/apartament-de-vanzare-sfantu-gheorghe-semicentral-mobilat-3-camere-498484</t>
  </si>
  <si>
    <t>25.8089482</t>
  </si>
  <si>
    <t>45.8655127</t>
  </si>
  <si>
    <t>f37</t>
  </si>
  <si>
    <t>https://www.imobiliare.ro/oferta/apartament-de-vanzare-sfantu-gheorghe-central-mobilat-2-camere-275202653</t>
  </si>
  <si>
    <t>4/7</t>
  </si>
  <si>
    <t>25.8076715</t>
  </si>
  <si>
    <t>45.8646797</t>
  </si>
  <si>
    <t>f38</t>
  </si>
  <si>
    <t>https://www.imoradar24.ro/oferta/apartament-de-vanzare-sfantu-gheorghe-central-3-camere-1345724</t>
  </si>
  <si>
    <t>25.7939624</t>
  </si>
  <si>
    <t>45.8624198</t>
  </si>
  <si>
    <t>f39</t>
  </si>
  <si>
    <t>https://www.imoradar24.ro/oferta/apartament-de-vanzare-sfantu-gheorghe-exterior-vest-3-camere-1080625</t>
  </si>
  <si>
    <t>25.7745442</t>
  </si>
  <si>
    <t>45.8582365</t>
  </si>
  <si>
    <t>f40</t>
  </si>
  <si>
    <t>https://www.imoradar24.ro/oferta/apartament-de-vanzare-sfantu-gheorghe-simeria-mobilat-3-camere-1235012</t>
  </si>
  <si>
    <t>25.7900402</t>
  </si>
  <si>
    <t>45.8596302</t>
  </si>
  <si>
    <t>f41</t>
  </si>
  <si>
    <t>https://www.imoradar24.ro/oferta/apartament-de-vanzare-sfantu-gheorghe-simeria-2-camere-1299304</t>
  </si>
  <si>
    <t>25.7785328</t>
  </si>
  <si>
    <t>45.8698068</t>
  </si>
  <si>
    <t>f42</t>
  </si>
  <si>
    <t>https://www.imoradar24.ro/oferta/apartament-de-vanzare-sfantu-gheorghe-simeria-3-camere-1498566</t>
  </si>
  <si>
    <t>6/10</t>
  </si>
  <si>
    <t>25.7760521</t>
  </si>
  <si>
    <t>45.8580335</t>
  </si>
  <si>
    <t>f43</t>
  </si>
  <si>
    <t>https://www.imoradar24.ro/oferta/apartament-de-vanzare-sfantu-gheorghe-central-2-camere-1297532</t>
  </si>
  <si>
    <t>2/6</t>
  </si>
  <si>
    <t>25.782969</t>
  </si>
  <si>
    <t>45.8616613</t>
  </si>
  <si>
    <t>f44</t>
  </si>
  <si>
    <t>https://www.imobiliare.ro/oferta/apartament-de-vanzare-sfantu-gheorghe-simeria-3-camere-275534655</t>
  </si>
  <si>
    <t>25.7791968</t>
  </si>
  <si>
    <t>45.8698298</t>
  </si>
  <si>
    <t>f45</t>
  </si>
  <si>
    <t>https://www.imoradar24.ro/oferta/apartament-de-vanzare-sfantu-gheorghe-central-2-camere-1390845</t>
  </si>
  <si>
    <t>4/6</t>
  </si>
  <si>
    <t>25.7803448</t>
  </si>
  <si>
    <t>45.8629019</t>
  </si>
  <si>
    <t>f46</t>
  </si>
  <si>
    <t>https://www.imobiliare.ro/oferta/apartament-de-vanzare-sfantu-gheorghe-lenin-mobilat-2-camere-275538319</t>
  </si>
  <si>
    <t>25.8083648</t>
  </si>
  <si>
    <t>45.865924</t>
  </si>
  <si>
    <t>f47</t>
  </si>
  <si>
    <t>https://www.imoradar24.ro/oferta/apartament-de-vanzare-sfantu-gheorghe-simeria-3-camere-1657607</t>
  </si>
  <si>
    <t>2/10</t>
  </si>
  <si>
    <t>25.7999105</t>
  </si>
  <si>
    <t>45.8598743</t>
  </si>
  <si>
    <t>f48</t>
  </si>
  <si>
    <t>https://www.imoradar24.ro/oferta/apartament-de-vanzare-sfantu-gheorghe-est-2-camere-1494501</t>
  </si>
  <si>
    <t>25.8071558</t>
  </si>
  <si>
    <t>45.8650497</t>
  </si>
  <si>
    <t>f49</t>
  </si>
  <si>
    <t>https://www.imoradar24.ro/oferta/apartament-de-vanzare-sfantu-gheorghe-central-3-camere-1590981</t>
  </si>
  <si>
    <t>25.8079764</t>
  </si>
  <si>
    <t>45.8644975</t>
  </si>
  <si>
    <t>f50</t>
  </si>
  <si>
    <t>https://www.imoradar24.ro/oferta/apartament-de-vanzare-sfantu-gheorghe-lenin-2-camere-1752581</t>
  </si>
  <si>
    <t>25.7784862</t>
  </si>
  <si>
    <t>45.8597412</t>
  </si>
  <si>
    <t>f51</t>
  </si>
  <si>
    <t>https://www.imoradar24.ro/oferta/apartament-de-vanzare-sfantu-gheorghe-exterior-vest-3-camere-1675269</t>
  </si>
  <si>
    <t>25.7773156</t>
  </si>
  <si>
    <t>45.8596159</t>
  </si>
  <si>
    <t>f52</t>
  </si>
  <si>
    <t>https://www.imobiliare.ro/oferta/apartament-de-vanzare-sfantu-gheorghe-garii-3-camere-270117035</t>
  </si>
  <si>
    <t>25.7940125</t>
  </si>
  <si>
    <t>45.8687379</t>
  </si>
  <si>
    <t>f53</t>
  </si>
  <si>
    <t>https://www.imobiliare.ro/oferta/apartament-de-vanzare-sfantu-gheorghe-semicentral-mobilat-2-camere-275621413</t>
  </si>
  <si>
    <t>25.800811</t>
  </si>
  <si>
    <t>45.8629034</t>
  </si>
  <si>
    <t>f54</t>
  </si>
  <si>
    <t>https://www.imoradar24.ro/oferta/apartament-de-vanzare-sfantu-gheorghe-central-2-camere-1134207</t>
  </si>
  <si>
    <t>25.7966757</t>
  </si>
  <si>
    <t>45.8639801</t>
  </si>
  <si>
    <t>f55</t>
  </si>
  <si>
    <t>https://www.imoradar24.ro/oferta/apartament-de-vanzare-sfantu-gheorghe-central-3-camere-1483361</t>
  </si>
  <si>
    <t>leárazva(11)</t>
  </si>
  <si>
    <t>25.7796514</t>
  </si>
  <si>
    <t>45.8697305</t>
  </si>
  <si>
    <t>f56</t>
  </si>
  <si>
    <t>https://www.imoradar24.ro/oferta/apartament-de-vanzare-sfantu-gheorghe-lenin-mobilat-2-camere-1240090</t>
  </si>
  <si>
    <t>25.7964126</t>
  </si>
  <si>
    <t>45.8645435</t>
  </si>
  <si>
    <t>f57</t>
  </si>
  <si>
    <t>https://www.imoradar24.ro/oferta/apartament-de-vanzare-sfantu-gheorghe-central-2-camere-1551939</t>
  </si>
  <si>
    <t>25.7936576</t>
  </si>
  <si>
    <t>45.8592097</t>
  </si>
  <si>
    <t>f58</t>
  </si>
  <si>
    <t>https://www.imobiliare.ro/oferta/apartament-de-vanzare-sfantu-gheorghe-simeria-mobilat-2-camere-275401305</t>
  </si>
  <si>
    <t>25.7929602</t>
  </si>
  <si>
    <t>45.8594413</t>
  </si>
  <si>
    <t>f59</t>
  </si>
  <si>
    <t>https://www.imobiliare.ro/oferta/apartament-de-vanzare-sfantu-gheorghe-lenin-mobilat-2-camere-275599189</t>
  </si>
  <si>
    <t>25.7763891</t>
  </si>
  <si>
    <t>45.8599196</t>
  </si>
  <si>
    <t>f60</t>
  </si>
  <si>
    <t>https://www.imoradar24.ro/oferta/apartament-de-vanzare-sfantu-gheorghe-semicentral-3-camere-671074</t>
  </si>
  <si>
    <t>25.7947176</t>
  </si>
  <si>
    <t>45.8622505</t>
  </si>
  <si>
    <t>f61</t>
  </si>
  <si>
    <t>https://www.imobiliare.ro/oferta/apartament-de-vanzare-sfantu-gheorghe-simeria-mobilat-3-camere-275613804</t>
  </si>
  <si>
    <t>25.7866797</t>
  </si>
  <si>
    <t>45.8675859</t>
  </si>
  <si>
    <t>j1</t>
  </si>
  <si>
    <t>https://www.imoradar24.ro/oferta/apartament-de-vanzare-sfantu-gheorghe-central-3-camere-1416183</t>
  </si>
  <si>
    <t>25.7784872</t>
  </si>
  <si>
    <t>45.8623993</t>
  </si>
  <si>
    <t>j2</t>
  </si>
  <si>
    <t>https://www.imoradar24.ro/oferta/apartament-de-vanzare-sfantu-gheorghe-central-3-camere-1234866</t>
  </si>
  <si>
    <t>25.7936644</t>
  </si>
  <si>
    <t>45.8554323</t>
  </si>
  <si>
    <t>j3</t>
  </si>
  <si>
    <t>https://www.imobiliare.ro/oferta/apartament-de-vanzare-sfantu-gheorghe-garii-3-camere-275691555</t>
  </si>
  <si>
    <t>0/8</t>
  </si>
  <si>
    <t>25.7966987</t>
  </si>
  <si>
    <t>45.8597048</t>
  </si>
  <si>
    <t>j4</t>
  </si>
  <si>
    <t>https://www.imoradar24.ro/oferta/apartament-de-vanzare-sfantu-gheorghe-lenin-3-camere-1101991</t>
  </si>
  <si>
    <t>25.7879157</t>
  </si>
  <si>
    <t>45.8589723</t>
  </si>
  <si>
    <t>j5</t>
  </si>
  <si>
    <t>https://www.imobiliare.ro/oferta/apartament-de-vanzare-sfantu-gheorghe-lenin-2-camere-275495773</t>
  </si>
  <si>
    <t>25.7938206</t>
  </si>
  <si>
    <t>45.8674366</t>
  </si>
  <si>
    <t>j6</t>
  </si>
  <si>
    <t>https://www.imobiliare.ro/oferta/apartament-de-vanzare-sfantu-gheorghe-lenin-2-camere-275353478</t>
  </si>
  <si>
    <t>25.7800811</t>
  </si>
  <si>
    <t>45.8581938</t>
  </si>
  <si>
    <t>j7</t>
  </si>
  <si>
    <t>https://www.imoradar24.ro/oferta/apartament-de-vanzare-sfantu-gheorghe-nord-2-camere-1264815</t>
  </si>
  <si>
    <t>25.7781723</t>
  </si>
  <si>
    <t>45.8579027</t>
  </si>
  <si>
    <t>j8</t>
  </si>
  <si>
    <t>https://www.imoradar24.ro/oferta/apartament-de-vanzare-sfantu-gheorghe-central-2-camere-1483476</t>
  </si>
  <si>
    <t>25.7945753</t>
  </si>
  <si>
    <t>45.8583686</t>
  </si>
  <si>
    <t>j9</t>
  </si>
  <si>
    <t>https://www.imoradar24.ro/oferta/apartament-de-vanzare-sfantu-gheorghe-lenin-2-camere-1636000</t>
  </si>
  <si>
    <t>25.7787985</t>
  </si>
  <si>
    <t>45.8577506</t>
  </si>
  <si>
    <t>j10</t>
  </si>
  <si>
    <t>https://www.imobiliare.ro/oferta/apartament-de-vanzare-sfantu-gheorghe-simeria-3-camere-263476408</t>
  </si>
  <si>
    <t>25.7814103</t>
  </si>
  <si>
    <t>45.8597747</t>
  </si>
  <si>
    <t>j11</t>
  </si>
  <si>
    <t>https://www.imoradar24.ro/oferta/apartament-de-vanzare-sfantu-gheorghe-central-2-camere-1165844</t>
  </si>
  <si>
    <t>25.7891454</t>
  </si>
  <si>
    <t>45.8640664</t>
  </si>
  <si>
    <t>j12</t>
  </si>
  <si>
    <t>https://www.imoradar24.ro/oferta/apartament-de-vanzare-sfantu-gheorghe-lenin-mobilat-3-camere-1101322</t>
  </si>
  <si>
    <t>25.7944767</t>
  </si>
  <si>
    <t>45.8638174</t>
  </si>
  <si>
    <t>j13</t>
  </si>
  <si>
    <t>https://www.imoradar24.ro/oferta/apartament-de-vanzare-sfantu-gheorghe-central-3-camere-1552654</t>
  </si>
  <si>
    <t>25.7987802</t>
  </si>
  <si>
    <t>45.8625618</t>
  </si>
  <si>
    <t>j14</t>
  </si>
  <si>
    <t>https://www.imoradar24.ro/oferta/apartament-de-vanzare-sfantu-gheorghe-simeria-3-camere-1801103</t>
  </si>
  <si>
    <t>8/11</t>
  </si>
  <si>
    <t>25.7736776</t>
  </si>
  <si>
    <t>45.8591302</t>
  </si>
  <si>
    <t>j15</t>
  </si>
  <si>
    <t>https://www.imoradar24.ro/oferta/apartament-de-vanzare-sfantu-gheorghe-central-2-camere-228313</t>
  </si>
  <si>
    <t>5/7</t>
  </si>
  <si>
    <t>25.8000795</t>
  </si>
  <si>
    <t>45.8593725</t>
  </si>
  <si>
    <t>j16</t>
  </si>
  <si>
    <t>https://www.imoradar24.ro/oferta/apartament-de-vanzare-sfantu-gheorghe-central-2-camere-1251550</t>
  </si>
  <si>
    <t>6/6</t>
  </si>
  <si>
    <t>25.7933586</t>
  </si>
  <si>
    <t>45.8587708</t>
  </si>
  <si>
    <t>j17</t>
  </si>
  <si>
    <t>https://www.imoradar24.ro/oferta/apartament-de-vanzare-sfantu-gheorghe-central-mobilat-2-camere-1485288</t>
  </si>
  <si>
    <t>6/8</t>
  </si>
  <si>
    <t>25.7927534</t>
  </si>
  <si>
    <t>45.8584198</t>
  </si>
  <si>
    <t>j18</t>
  </si>
  <si>
    <t>https://www.imobiliare.ro/oferta/apartament-de-vanzare-sfantu-gheorghe-central-2-camere-275606764</t>
  </si>
  <si>
    <t>25.7943928</t>
  </si>
  <si>
    <t>45.8569414</t>
  </si>
  <si>
    <t>j19</t>
  </si>
  <si>
    <t>https://www.imoradar24.ro/oferta/apartament-de-vanzare-sfantu-gheorghe-sud-2-camere-1709778</t>
  </si>
  <si>
    <t>2/8</t>
  </si>
  <si>
    <t>25.7958446</t>
  </si>
  <si>
    <t>45.8691189</t>
  </si>
  <si>
    <t>j20</t>
  </si>
  <si>
    <t>https://www.imoradar24.ro/oferta/apartament-de-vanzare-sfantu-gheorghe-sud-3-camere-1597794</t>
  </si>
  <si>
    <t>25.801398</t>
  </si>
  <si>
    <t>45.8626867</t>
  </si>
  <si>
    <t>j21</t>
  </si>
  <si>
    <t>https://www.imoradar24.ro/oferta/apartament-de-vanzare-sfantu-gheorghe-garii-3-camere-1737040</t>
  </si>
  <si>
    <t>0/10</t>
  </si>
  <si>
    <t>25.7742964</t>
  </si>
  <si>
    <t>45.859367</t>
  </si>
  <si>
    <t>j22</t>
  </si>
  <si>
    <t>https://www.imobiliare.ro/oferta/apartament-de-vanzare-sfantu-gheorghe-garii-3-camere-269086065</t>
  </si>
  <si>
    <t>25.801666</t>
  </si>
  <si>
    <t>45.8639133</t>
  </si>
  <si>
    <t>j23</t>
  </si>
  <si>
    <t>https://www.imoradar24.ro/oferta/apartament-de-vanzare-sfantu-gheorghe-simeria-3-camere-1725606</t>
  </si>
  <si>
    <t>25.8076622</t>
  </si>
  <si>
    <t>45.8634497</t>
  </si>
  <si>
    <t>j24</t>
  </si>
  <si>
    <t>https://www.imoradar24.ro/oferta/apartament-de-vanzare-sfantu-gheorghe-exterior-vest-2-camere-1737937</t>
  </si>
  <si>
    <t>25.7770656</t>
  </si>
  <si>
    <t>45.8590512</t>
  </si>
  <si>
    <t>j25</t>
  </si>
  <si>
    <t>https://www.imoradar24.ro/oferta/apartament-de-vanzare-sfantu-gheorghe-central-2-camere-1392568</t>
  </si>
  <si>
    <t>25.777859</t>
  </si>
  <si>
    <t>45.8627349</t>
  </si>
  <si>
    <t>j26</t>
  </si>
  <si>
    <t>https://www.imoradar24.ro/oferta/apartament-de-vanzare-sfantu-gheorghe-simeria-3-camere-1756917</t>
  </si>
  <si>
    <t>1/10</t>
  </si>
  <si>
    <t>felújítandó*</t>
  </si>
  <si>
    <t>25.7749406</t>
  </si>
  <si>
    <t>45.8575995</t>
  </si>
  <si>
    <t>j27</t>
  </si>
  <si>
    <t>https://www.imoradar24.ro/oferta/apartament-de-vanzare-sfantu-gheorghe-lenin-3-camere-707024</t>
  </si>
  <si>
    <t>25.7946121</t>
  </si>
  <si>
    <t>45.868492</t>
  </si>
  <si>
    <t>j28</t>
  </si>
  <si>
    <t>https://www.imoradar24.ro/oferta/apartament-de-vanzare-sfantu-gheorghe-central-3-camere-1552655</t>
  </si>
  <si>
    <t>25.7924806</t>
  </si>
  <si>
    <t>45.8575453</t>
  </si>
  <si>
    <t>j29</t>
  </si>
  <si>
    <t>https://www.imoradar24.ro/oferta/apartament-de-vanzare-sfantu-gheorghe-central-2-camere-1033820</t>
  </si>
  <si>
    <t>25.8017112</t>
  </si>
  <si>
    <t>45.8622537</t>
  </si>
  <si>
    <t>j30</t>
  </si>
  <si>
    <t>https://www.imoradar24.ro/oferta/apartament-de-vanzare-sfantu-gheorghe-simeria-3-camere-823390</t>
  </si>
  <si>
    <t>25.77868</t>
  </si>
  <si>
    <t>45.8577051</t>
  </si>
  <si>
    <t>j31</t>
  </si>
  <si>
    <t>https://www.imobiliare.ro/oferta/apartament-de-vanzare-sfantu-gheorghe-garii-2-camere-268446714</t>
  </si>
  <si>
    <t>25.7768531</t>
  </si>
  <si>
    <t>45.8600154</t>
  </si>
  <si>
    <t>j32</t>
  </si>
  <si>
    <t>https://www.imobiliare.ro/oferta/apartament-de-vanzare-sfantu-gheorghe-semicentral-mobilat-2-camere-275465029</t>
  </si>
  <si>
    <t>25.7957693</t>
  </si>
  <si>
    <t>45.8693553</t>
  </si>
  <si>
    <t>j33</t>
  </si>
  <si>
    <t>https://www.imobiliare.ro/oferta/apartament-de-vanzare-sfantu-gheorghe-simeria-3-camere-275569893</t>
  </si>
  <si>
    <t>25.7899697</t>
  </si>
  <si>
    <t>45.8586127</t>
  </si>
  <si>
    <t>r1</t>
  </si>
  <si>
    <t>https://www.imobiliare.ro/oferta/apartament-de-vanzare-sfantu-gheorghe-simeria-mobilat-3-camere-275678917</t>
  </si>
  <si>
    <t>25.7874015</t>
  </si>
  <si>
    <t>45.8625301</t>
  </si>
  <si>
    <t>r2</t>
  </si>
  <si>
    <t>https://www.imoradar24.ro/oferta/apartament-de-vanzare-sfantu-gheorghe-simeria-3-camere-1252750</t>
  </si>
  <si>
    <t>leárazva(27)</t>
  </si>
  <si>
    <t>25.7961354</t>
  </si>
  <si>
    <t>45.8589316</t>
  </si>
  <si>
    <t>r3</t>
  </si>
  <si>
    <t>https://www.imoradar24.ro/oferta/apartament-de-vanzare-sfantu-gheorghe-central-2-camere-1315443</t>
  </si>
  <si>
    <t>25.8071698</t>
  </si>
  <si>
    <t>45.8649146</t>
  </si>
  <si>
    <t>r4</t>
  </si>
  <si>
    <t>https://www.imoradar24.ro/oferta/apartament-de-vanzare-sfantu-gheorghe-central-2-camere-361107</t>
  </si>
  <si>
    <t>25.8080603</t>
  </si>
  <si>
    <t>45.8626844</t>
  </si>
  <si>
    <t>r5</t>
  </si>
  <si>
    <t>https://www.imobiliare.ro/oferta/apartament-de-vanzare-sfantu-gheorghe-simeria-mobilat-2-camere-275532917</t>
  </si>
  <si>
    <t>25.8073726</t>
  </si>
  <si>
    <t>45.8643195</t>
  </si>
  <si>
    <t>r6</t>
  </si>
  <si>
    <t>https://www.imoradar24.ro/oferta/apartament-de-vanzare-sfantu-gheorghe-central-2-camere-890888</t>
  </si>
  <si>
    <t>25.7876437</t>
  </si>
  <si>
    <t>45.8677598</t>
  </si>
  <si>
    <t>r7</t>
  </si>
  <si>
    <t>https://www.imoradar24.ro/oferta/apartament-de-vanzare-sfantu-gheorghe-central-2-camere-1497576</t>
  </si>
  <si>
    <t>25.7893555</t>
  </si>
  <si>
    <t>45.859416</t>
  </si>
  <si>
    <t>r8</t>
  </si>
  <si>
    <t>https://www.imoradar24.ro/oferta/apartament-de-vanzare-sfantu-gheorghe-simeria-2-camere-1610465</t>
  </si>
  <si>
    <t>25.8001272</t>
  </si>
  <si>
    <t>45.862569</t>
  </si>
  <si>
    <t>r9</t>
  </si>
  <si>
    <t>https://www.imobiliare.ro/oferta/apartament-de-vanzare-sfantu-gheorghe-simeria-2-camere-275622148</t>
  </si>
  <si>
    <t>7/10</t>
  </si>
  <si>
    <t>25.7926799</t>
  </si>
  <si>
    <t>45.8585353</t>
  </si>
  <si>
    <t>r10</t>
  </si>
  <si>
    <t>https://www.imoradar24.ro/oferta/apartament-de-vanzare-sfantu-gheorghe-simeria-mobilat-2-camere-1047649</t>
  </si>
  <si>
    <t>25.7953736</t>
  </si>
  <si>
    <t>45.8678363</t>
  </si>
  <si>
    <t>r11</t>
  </si>
  <si>
    <t>https://www.imoradar24.ro/oferta/apartament-de-vanzare-sfantu-gheorghe-simeria-2-camere-1172938</t>
  </si>
  <si>
    <t>25.8073045</t>
  </si>
  <si>
    <t>45.8640038</t>
  </si>
  <si>
    <t>r12</t>
  </si>
  <si>
    <t>https://www.imobiliare.ro/oferta/apartament-de-vanzare-sfantu-gheorghe-simeria-mobilat-3-camere-275603923</t>
  </si>
  <si>
    <t>25.7946774</t>
  </si>
  <si>
    <t>45.8675959</t>
  </si>
  <si>
    <t>r13</t>
  </si>
  <si>
    <t>https://www.imoradar24.ro/oferta/apartament-de-vanzare-sfantu-gheorghe-semicentral-mobilat-2-camere-1547781</t>
  </si>
  <si>
    <t>25.790436</t>
  </si>
  <si>
    <t>45.8631123</t>
  </si>
  <si>
    <t>r14</t>
  </si>
  <si>
    <t>https://www.imoradar24.ro/oferta/apartament-de-vanzare-sfantu-gheorghe-lenin-2-camere-1593820</t>
  </si>
  <si>
    <t>25.7786071</t>
  </si>
  <si>
    <t>45.8575794</t>
  </si>
  <si>
    <t>r15</t>
  </si>
  <si>
    <t>https://www.imoradar24.ro/oferta/apartament-de-vanzare-sfantu-gheorghe-lenin-2-camere-1412684</t>
  </si>
  <si>
    <t>25.7957177</t>
  </si>
  <si>
    <t>45.8636617</t>
  </si>
  <si>
    <t>r16</t>
  </si>
  <si>
    <t>https://www.imobiliare.ro/oferta/apartament-de-vanzare-sfantu-gheorghe-garii-2-camere-275618189</t>
  </si>
  <si>
    <t>25.7944262</t>
  </si>
  <si>
    <t>45.8577083</t>
  </si>
  <si>
    <t>r17</t>
  </si>
  <si>
    <t>https://www.imobiliare.ro/oferta/apartament-de-vanzare-sfantu-gheorghe-garii-2-camere-275612428</t>
  </si>
  <si>
    <t>25.7958842</t>
  </si>
  <si>
    <t>45.8603597</t>
  </si>
  <si>
    <t>r18</t>
  </si>
  <si>
    <t>https://www.imoradar24.ro/oferta/apartament-de-vanzare-sfantu-gheorghe-garii-2-camere-1704598</t>
  </si>
  <si>
    <t>25.7748947</t>
  </si>
  <si>
    <t>45.8576593</t>
  </si>
  <si>
    <t>r19</t>
  </si>
  <si>
    <t>https://www.imobiliare.ro/oferta/apartament-de-vanzare-sfantu-gheorghe-simeria-mobilat-2-camere-269092169</t>
  </si>
  <si>
    <t>25.7990778</t>
  </si>
  <si>
    <t>45.8654557</t>
  </si>
  <si>
    <t>r20</t>
  </si>
  <si>
    <t>https://www.imoradar24.ro/oferta/apartament-de-vanzare-sfantu-gheorghe-sud-2-camere-1363408</t>
  </si>
  <si>
    <t>10/10</t>
  </si>
  <si>
    <t>25.7961928</t>
  </si>
  <si>
    <t>45.8675058</t>
  </si>
  <si>
    <t>r21</t>
  </si>
  <si>
    <t>https://www.imobiliare.ro/oferta/apartament-de-vanzare-sfantu-gheorghe-lenin-2-camere-275417591</t>
  </si>
  <si>
    <t>25.7792771</t>
  </si>
  <si>
    <t>45.8669507</t>
  </si>
  <si>
    <t>r22</t>
  </si>
  <si>
    <t>https://www.imobiliare.ro/oferta/apartament-de-vanzare-sfantu-gheorghe-simeria-2-camere-275647927</t>
  </si>
  <si>
    <t>25.8000255</t>
  </si>
  <si>
    <t>45.8635662</t>
  </si>
  <si>
    <t>r23</t>
  </si>
  <si>
    <t>https://www.imoradar24.ro/oferta/apartament-de-vanzare-sfantu-gheorghe-simeria-2-camere-1793540</t>
  </si>
  <si>
    <t>25.7749311</t>
  </si>
  <si>
    <t>45.8580239</t>
  </si>
  <si>
    <t>r24</t>
  </si>
  <si>
    <t>https://www.imoradar24.ro/oferta/apartament-de-vanzare-sfantu-gheorghe-lenin-2-camere-1172231</t>
  </si>
  <si>
    <t>25.807152</t>
  </si>
  <si>
    <t>45.8635068</t>
  </si>
  <si>
    <t>r25</t>
  </si>
  <si>
    <t>https://www.imoradar24.ro/oferta/apartament-de-vanzare-sfantu-gheorghe-central-3-camere-1584723</t>
  </si>
  <si>
    <t>25.8079584</t>
  </si>
  <si>
    <t>45.8624371</t>
  </si>
  <si>
    <t>r26</t>
  </si>
  <si>
    <t>https://www.imoradar24.ro/oferta/apartament-de-vanzare-sfantu-gheorghe-central-2-camere-1575172</t>
  </si>
  <si>
    <t>25.8070309</t>
  </si>
  <si>
    <t>45.8638922</t>
  </si>
  <si>
    <t>r27</t>
  </si>
  <si>
    <t>https://www.imobiliare.ro/oferta/apartament-de-vanzare-sfantu-gheorghe-semicentral-2-camere-275553520</t>
  </si>
  <si>
    <t>25.8005226</t>
  </si>
  <si>
    <t>45.8616875</t>
  </si>
  <si>
    <t>r28</t>
  </si>
  <si>
    <t>https://www.imoradar24.ro/oferta/apartament-de-vanzare-sfantu-gheorghe-simeria-2-camere-1641996</t>
  </si>
  <si>
    <t>25.7988931</t>
  </si>
  <si>
    <t>45.8615416</t>
  </si>
  <si>
    <t>r29</t>
  </si>
  <si>
    <t>https://www.imoradar24.ro/oferta/apartament-de-vanzare-sfantu-gheorghe-spitalului-3-camere-659404</t>
  </si>
  <si>
    <t>25.8073543</t>
  </si>
  <si>
    <t>45.8634554</t>
  </si>
  <si>
    <t>r30</t>
  </si>
  <si>
    <t>https://www.imoradar24.ro/oferta/apartament-de-vanzare-sfantu-gheorghe-central-2-camere-1354540</t>
  </si>
  <si>
    <t>25.778325</t>
  </si>
  <si>
    <t>45.8622924</t>
  </si>
  <si>
    <t>r31</t>
  </si>
  <si>
    <t>https://www.imobiliare.ro/oferta/apartament-de-vanzare-sfantu-gheorghe-garii-2-camere-275526660</t>
  </si>
  <si>
    <t>25.808147</t>
  </si>
  <si>
    <t>45.8638442</t>
  </si>
  <si>
    <t>r32</t>
  </si>
  <si>
    <t>https://www.imobiliare.ro/oferta/apartament-de-vanzare-sfantu-gheorghe-central-2-camere-275633460</t>
  </si>
  <si>
    <t>25.7876013</t>
  </si>
  <si>
    <t>45.8598581</t>
  </si>
  <si>
    <t>r33</t>
  </si>
  <si>
    <t>https://www.imoradar24.ro/oferta/apartament-de-vanzare-sfantu-gheorghe-garii-2-camere-1188061</t>
  </si>
  <si>
    <t>25.8078348</t>
  </si>
  <si>
    <t>45.8634579</t>
  </si>
  <si>
    <t>r34</t>
  </si>
  <si>
    <t>https://www.imobiliare.ro/oferta/apartament-de-vanzare-sfantu-gheorghe-simeria-2-camere-275690832</t>
  </si>
  <si>
    <t>25.8087014</t>
  </si>
  <si>
    <t>45.8641193</t>
  </si>
  <si>
    <t>r35</t>
  </si>
  <si>
    <t>https://www.imoradar24.ro/oferta/apartament-de-vanzare-sfantu-gheorghe-central-2-camere-1266325</t>
  </si>
  <si>
    <t>25.8086185</t>
  </si>
  <si>
    <t>45.8630936</t>
  </si>
  <si>
    <t>r36</t>
  </si>
  <si>
    <t>https://www.imoradar24.ro/oferta/apartament-de-vanzare-sfantu-gheorghe-simeria-mobilat-2-camere-711967</t>
  </si>
  <si>
    <t>25.7774423</t>
  </si>
  <si>
    <t>45.8574157</t>
  </si>
  <si>
    <t>r37</t>
  </si>
  <si>
    <t>https://www.imoradar24.ro/oferta/apartament-de-vanzare-sfantu-gheorghe-central-2-camere-1339229</t>
  </si>
  <si>
    <t>25.795574</t>
  </si>
  <si>
    <t>45.8675456</t>
  </si>
  <si>
    <t>r38</t>
  </si>
  <si>
    <t>https://www.imobiliare.ro/oferta/apartament-de-vanzare-sfantu-gheorghe-semicentral-2-camere-275592684</t>
  </si>
  <si>
    <t>25.7987929</t>
  </si>
  <si>
    <t>45.865062</t>
  </si>
  <si>
    <t>r39</t>
  </si>
  <si>
    <t>https://www.imoradar24.ro/oferta/apartament-de-vanzare-sfantu-gheorghe-simeria-2-camere-1794964</t>
  </si>
  <si>
    <t>25.7764415</t>
  </si>
  <si>
    <t>45.8583988</t>
  </si>
  <si>
    <t>r40</t>
  </si>
  <si>
    <t>https://www.imoradar24.ro/oferta/garsoniera-de-vanzare-sfantu-gheorghe-central-28-mp-1759986</t>
  </si>
  <si>
    <t>25.7985801</t>
  </si>
  <si>
    <t>45.8588174</t>
  </si>
  <si>
    <t>r41</t>
  </si>
  <si>
    <t>https://www.imobiliare.ro/oferta/apartament-de-vanzare-sfantu-gheorghe-simeria-mobilat-2-camere-275676439</t>
  </si>
  <si>
    <t>25.808267</t>
  </si>
  <si>
    <t>45.8643996</t>
  </si>
  <si>
    <t>r42</t>
  </si>
  <si>
    <t>https://www.imobiliare.ro/oferta/apartament-de-vanzare-sfantu-gheorghe-simeria-2-camere-275523007</t>
  </si>
  <si>
    <t>25.77434</t>
  </si>
  <si>
    <t>45.8595372</t>
  </si>
  <si>
    <t>r43</t>
  </si>
  <si>
    <t>https://www.imoradar24.ro/oferta/apartament-de-vanzare-sfantu-gheorghe-simeria-3-camere-1116951</t>
  </si>
  <si>
    <t>25.773078</t>
  </si>
  <si>
    <t>45.8597328</t>
  </si>
  <si>
    <t>r44</t>
  </si>
  <si>
    <t>https://www.imobiliare.ro/oferta/apartament-de-vanzare-sfantu-gheorghe-simeria-2-camere-268855116</t>
  </si>
  <si>
    <t>25.8079559</t>
  </si>
  <si>
    <t>45.8641959</t>
  </si>
  <si>
    <t>r45</t>
  </si>
  <si>
    <t>https://www.imoradar24.ro/oferta/apartament-de-vanzare-sfantu-gheorghe-central-1444524</t>
  </si>
  <si>
    <t>25.7753632</t>
  </si>
  <si>
    <t>45.8589579</t>
  </si>
  <si>
    <t>r46</t>
  </si>
  <si>
    <t>https://www.imoradar24.ro/oferta/garsoniera-de-vanzare-sfantu-gheorghe-ciucului-mobilata-29-mp-1269393</t>
  </si>
  <si>
    <t>1/7</t>
  </si>
  <si>
    <t>25.7743821</t>
  </si>
  <si>
    <t>45.8577423</t>
  </si>
  <si>
    <t>r47</t>
  </si>
  <si>
    <t>https://www.imoradar24.ro/oferta/garsoniera-de-vanzare-sfantu-gheorghe-exterior-vest-30-mp-1737146</t>
  </si>
  <si>
    <t>25.7843534</t>
  </si>
  <si>
    <t>45.8614468</t>
  </si>
  <si>
    <t>r48</t>
  </si>
  <si>
    <t>https://www.imoradar24.ro/oferta/garsoniera-de-vanzare-sfantu-gheorghe-central-30-mp-1495621</t>
  </si>
  <si>
    <t>25.7782863</t>
  </si>
  <si>
    <t>45.8595205</t>
  </si>
  <si>
    <t>r49</t>
  </si>
  <si>
    <t>https://www.imoradar24.ro/oferta/apartament-de-vanzare-sfantu-gheorghe-simeria-mobilat-2-camere-1335977</t>
  </si>
  <si>
    <t>3/3</t>
  </si>
  <si>
    <t>25.7966458</t>
  </si>
  <si>
    <t>45.8659608</t>
  </si>
  <si>
    <t>r50</t>
  </si>
  <si>
    <t>https://www.imobiliare.ro/oferta/garsoniera-de-vanzare-sfantu-gheorghe-central-27mp-275692886</t>
  </si>
  <si>
    <t>25.7842616</t>
  </si>
  <si>
    <t>45.8613714</t>
  </si>
  <si>
    <t>r51</t>
  </si>
  <si>
    <t>https://www.imobiliare.ro/oferta/garsoniera-de-vanzare-sfantu-gheorghe-lenin-30mp-275328176</t>
  </si>
  <si>
    <t>25.7767829</t>
  </si>
  <si>
    <t>45.8595527</t>
  </si>
  <si>
    <t>r52</t>
  </si>
  <si>
    <t>https://www.imoradar24.ro/oferta/garsoniera-de-vanzare-sfantu-gheorghe-lenin-24-mp-1601514</t>
  </si>
  <si>
    <t>25.7747406</t>
  </si>
  <si>
    <t>45.8576396</t>
  </si>
  <si>
    <t>r53</t>
  </si>
  <si>
    <t>https://www.imoradar24.ro/oferta/garsoniera-de-vanzare-sfantu-gheorghe-central-28-mp-1560638</t>
  </si>
  <si>
    <t>25.7959873</t>
  </si>
  <si>
    <t>45.8600436</t>
  </si>
  <si>
    <t>r54</t>
  </si>
  <si>
    <t>https://www.imoradar24.ro/oferta/garsoniera-de-vanzare-sfantu-gheorghe-nord-37-mp-1674148</t>
  </si>
  <si>
    <t>25.7985515</t>
  </si>
  <si>
    <t>45.861833</t>
  </si>
  <si>
    <t>r55</t>
  </si>
  <si>
    <t>https://www.imoradar24.ro/oferta/apartament-de-vanzare-sfantu-gheorghe-simeria-2-camere-1249445</t>
  </si>
  <si>
    <t>25.7954794</t>
  </si>
  <si>
    <t>45.8677566</t>
  </si>
  <si>
    <t>r56</t>
  </si>
  <si>
    <t>https://www.imobiliare.ro/oferta/garsoniera-de-vanzare-sfantu-gheorghe-central-2838mp-275677037</t>
  </si>
  <si>
    <t>25.7960429</t>
  </si>
  <si>
    <t>45.8694979</t>
  </si>
  <si>
    <t>r57</t>
  </si>
  <si>
    <t>https://www.imoradar24.ro/oferta/garsoniera-de-vanzare-sfantu-gheorghe-central-28-mp-1485578</t>
  </si>
  <si>
    <t>25.79987</t>
  </si>
  <si>
    <t>45.85904</t>
  </si>
  <si>
    <t>j34</t>
  </si>
  <si>
    <t>https://www.imoradar24.ro/oferta/garsoniera-de-vanzare-sfantu-gheorghe-central-21-mp-1742816</t>
  </si>
  <si>
    <t>f62</t>
  </si>
  <si>
    <t>https://www.imoradar24.ro/oferta/apartament-de-vanzare-sfantu-gheorghe-central-4-camere-1880935</t>
  </si>
  <si>
    <t>1szobás ár/nm</t>
  </si>
  <si>
    <t>2szobás ár/nm</t>
  </si>
  <si>
    <t>3szobás ár/nm</t>
  </si>
  <si>
    <t>4szobás ár/nm</t>
  </si>
  <si>
    <t>jó ár/nm</t>
  </si>
  <si>
    <t>2,3 szobás átlag ár/nm</t>
  </si>
  <si>
    <t>felújítandó ár/nm</t>
  </si>
  <si>
    <t>részbenfel ár/nm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</si>
</sst>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Liberation Sans"/>
      <charset val="1"/>
    </font>
    <font>
      <sz val="8"/>
      <color rgb="FF777777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 applyAlignment="1">
      <alignment horizontal="right"/>
    </xf>
    <xf numFmtId="2" fontId="0" fillId="0" borderId="0" xfId="0" applyNumberFormat="1"/>
    <xf numFmtId="49" fontId="0" fillId="0" borderId="0" xfId="0" applyNumberFormat="1" applyAlignment="1">
      <alignment horizontal="right" vertical="center"/>
    </xf>
    <xf numFmtId="0" fontId="0" fillId="0" borderId="0" xfId="0" applyNumberFormat="1"/>
    <xf numFmtId="0" fontId="1" fillId="0" borderId="0" xfId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3" borderId="1" xfId="0" applyFont="1" applyFill="1" applyBorder="1"/>
    <xf numFmtId="0" fontId="0" fillId="4" borderId="0" xfId="0" applyFill="1" applyAlignment="1">
      <alignment wrapText="1"/>
    </xf>
    <xf numFmtId="0" fontId="0" fillId="4" borderId="0" xfId="0" applyFill="1"/>
    <xf numFmtId="0" fontId="3" fillId="0" borderId="0" xfId="0" applyFont="1"/>
    <xf numFmtId="0" fontId="0" fillId="0" borderId="0" xfId="0" applyNumberFormat="1" applyAlignment="1">
      <alignment horizontal="right" vertical="center" wrapText="1"/>
    </xf>
    <xf numFmtId="0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 applyAlignment="1">
      <alignment wrapText="1"/>
    </xf>
    <xf numFmtId="0" fontId="1" fillId="0" borderId="0" xfId="1" applyFill="1" applyAlignment="1">
      <alignment horizontal="right"/>
    </xf>
    <xf numFmtId="0" fontId="1" fillId="0" borderId="0" xfId="1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 applyAlignment="1">
      <alignment horizontal="right" vertical="center"/>
    </xf>
    <xf numFmtId="0" fontId="4" fillId="5" borderId="0" xfId="0" applyFont="1" applyFill="1" applyAlignment="1">
      <alignment wrapText="1"/>
    </xf>
  </cellXfs>
  <cellStyles count="2">
    <cellStyle name="Hyperlink" xfId="1" xr:uid="{00000000-000B-0000-0000-000008000000}"/>
    <cellStyle name="Normá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0EEB7-E90D-4365-8885-2B89F5E27865}" name="tab_alap" displayName="tab_alap" ref="A1:P166" totalsRowShown="0">
  <autoFilter ref="A1:P166" xr:uid="{F4F0EEB7-E90D-4365-8885-2B89F5E27865}"/>
  <sortState xmlns:xlrd2="http://schemas.microsoft.com/office/spreadsheetml/2017/richdata2" ref="A2:P166">
    <sortCondition ref="A1:A166"/>
  </sortState>
  <tableColumns count="16">
    <tableColumn id="1" xr3:uid="{46630E49-CADC-4D39-957B-B0500292C5DE}" name="Sorszám" dataDxfId="13">
      <calculatedColumnFormula array="1">_xlfn.SEQUENCE(tab_alap[](50,1,1,1))</calculatedColumnFormula>
    </tableColumn>
    <tableColumn id="2" xr3:uid="{B43614EC-D17D-4CB2-BEA5-1640F0C97C82}" name="Link"/>
    <tableColumn id="16" xr3:uid="{AC88564B-92D3-4E42-98B3-A12E478390A3}" name="megnyitas" dataDxfId="12" dataCellStyle="Hyperlink">
      <calculatedColumnFormula>HYPERLINK(tab_alap[[#This Row],[Link]], "Megnyitás ↗")</calculatedColumnFormula>
    </tableColumn>
    <tableColumn id="3" xr3:uid="{7AFC3304-6542-4E98-98F4-464D58FF866B}" name="Térképjelölés"/>
    <tableColumn id="4" xr3:uid="{9B1B3F77-DAA4-417B-A5FE-348B0F0BFABE}" name="Ár"/>
    <tableColumn id="5" xr3:uid="{9BCFA3B8-F01B-4DDA-9635-EDF6B9548509}" name="Nm"/>
    <tableColumn id="6" xr3:uid="{09EF9F82-39A2-4F11-92CF-027467DBDA17}" name="Ár/nm" dataDxfId="11">
      <calculatedColumnFormula>tab_alap[[#This Row],[Ár]]/tab_alap[[#This Row],[Nm]]</calculatedColumnFormula>
    </tableColumn>
    <tableColumn id="7" xr3:uid="{4085FB8D-A3AF-4581-8A0C-BF965F9008C6}" name="szobaszám">
      <calculatedColumnFormula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calculatedColumnFormula>
    </tableColumn>
    <tableColumn id="8" xr3:uid="{4692943A-08EF-4904-8A64-AC1CA14D0739}" name="emelet"/>
    <tableColumn id="13" xr3:uid="{0C6D844F-9559-4607-AABD-46070F927F4C}" name="koordinata" dataDxfId="10" dataCellStyle="Hyperlink">
      <calculatedColumnFormula>HYPERLINK("https://www.google.com/maps/search/?api=1&amp;query=" &amp; tab_alap[[#This Row],[Y]] &amp; "," &amp; tab_alap[[#This Row],[X]], "Megnyitás")</calculatedColumnFormula>
    </tableColumn>
    <tableColumn id="15" xr3:uid="{973B1BA0-3C8D-446A-96E7-F4B364C596D5}" name="eladva" dataDxfId="9" dataCellStyle="Hyperlink"/>
    <tableColumn id="10" xr3:uid="{0D108B35-93D2-4620-BA1A-088EA499689E}" name="állapot" dataDxfId="8"/>
    <tableColumn id="12" xr3:uid="{ED2EDCCC-FB7A-44DF-A116-0113048EB4F6}" name="azonosito" dataDxfId="7">
      <calculatedColumnFormula>LEFT(tab_alap[[#This Row],[állapot]],1) &amp; tab_alap[[#This Row],[Térképjelölés]]</calculatedColumnFormula>
    </tableColumn>
    <tableColumn id="14" xr3:uid="{635AF556-29EB-4612-9C9A-082FB34FEADE}" name="X" dataDxfId="6">
      <calculatedColumnFormula>_xlfn.XLOOKUP(tab_alap[[#This Row],[azonosito]], Koordinatak[azonosito_1], Koordinatak[X_1], "-")</calculatedColumnFormula>
    </tableColumn>
    <tableColumn id="9" xr3:uid="{B5B1B403-9AA5-450B-A156-CF22D60D05C5}" name="Y" dataDxfId="5">
      <calculatedColumnFormula>_xlfn.XLOOKUP(tab_alap[[#This Row],[azonosito]], Koordinatak[azonosito_1], Koordinatak[Y_1], "-")</calculatedColumnFormula>
    </tableColumn>
    <tableColumn id="11" xr3:uid="{7162E43A-D218-42DC-9DC2-5D3EB35523D0}" name="ismétlés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17D82-4BE5-4E81-8F26-88A1DA53D69E}" name="Koordinatak" displayName="Koordinatak" ref="Q1:S166" totalsRowShown="0" headerRowDxfId="4" dataDxfId="3">
  <autoFilter ref="Q1:S166" xr:uid="{A7A17D82-4BE5-4E81-8F26-88A1DA53D69E}"/>
  <tableColumns count="3">
    <tableColumn id="1" xr3:uid="{3E053878-FAF8-4C43-8817-263C78DC3455}" name="X_1" dataDxfId="2"/>
    <tableColumn id="2" xr3:uid="{A13B114C-1E46-4AA2-80F7-6170F284B73D}" name="Y_1" dataDxfId="1"/>
    <tableColumn id="3" xr3:uid="{01DE4221-189E-4550-9520-7E18619DE7C0}" name="azonosito_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oradar24.ro/oferta/apartament-de-vanzare-sfantu-gheorghe-simeria-2-camere-1793540" TargetMode="External"/><Relationship Id="rId21" Type="http://schemas.openxmlformats.org/officeDocument/2006/relationships/hyperlink" Target="https://www.imoradar24.ro/oferta/apartament-de-vanzare-sfantu-gheorghe-simeria-4-camere-874100" TargetMode="External"/><Relationship Id="rId42" Type="http://schemas.openxmlformats.org/officeDocument/2006/relationships/hyperlink" Target="https://www.imoradar24.ro/oferta/apartament-de-vanzare-sfantu-gheorghe-simeria-3-camere-1498566" TargetMode="External"/><Relationship Id="rId63" Type="http://schemas.openxmlformats.org/officeDocument/2006/relationships/hyperlink" Target="https://www.imoradar24.ro/oferta/apartament-de-vanzare-sfantu-gheorghe-central-3-camere-1234866" TargetMode="External"/><Relationship Id="rId84" Type="http://schemas.openxmlformats.org/officeDocument/2006/relationships/hyperlink" Target="https://www.imoradar24.ro/oferta/apartament-de-vanzare-sfantu-gheorghe-simeria-3-camere-1725606" TargetMode="External"/><Relationship Id="rId138" Type="http://schemas.openxmlformats.org/officeDocument/2006/relationships/hyperlink" Target="https://www.imobiliare.ro/oferta/apartament-de-vanzare-sfantu-gheorghe-simeria-2-camere-268855116" TargetMode="External"/><Relationship Id="rId107" Type="http://schemas.openxmlformats.org/officeDocument/2006/relationships/hyperlink" Target="https://www.imoradar24.ro/oferta/apartament-de-vanzare-sfantu-gheorghe-semicentral-mobilat-2-camere-1547781" TargetMode="External"/><Relationship Id="rId11" Type="http://schemas.openxmlformats.org/officeDocument/2006/relationships/hyperlink" Target="https://www.imoradar24.ro/oferta/apartament-de-vanzare-sfantu-gheorghe-central-4-camere-1509022" TargetMode="External"/><Relationship Id="rId32" Type="http://schemas.openxmlformats.org/officeDocument/2006/relationships/hyperlink" Target="https://www.imobiliare.ro/oferta/apartament-de-vanzare-sfantu-gheorghe-lenin-3-camere-275533187" TargetMode="External"/><Relationship Id="rId53" Type="http://schemas.openxmlformats.org/officeDocument/2006/relationships/hyperlink" Target="https://www.imobiliare.ro/oferta/apartament-de-vanzare-sfantu-gheorghe-semicentral-mobilat-2-camere-275621413" TargetMode="External"/><Relationship Id="rId74" Type="http://schemas.openxmlformats.org/officeDocument/2006/relationships/hyperlink" Target="https://www.imoradar24.ro/oferta/apartament-de-vanzare-sfantu-gheorghe-central-3-camere-1552654" TargetMode="External"/><Relationship Id="rId128" Type="http://schemas.openxmlformats.org/officeDocument/2006/relationships/hyperlink" Target="https://www.imobiliare.ro/oferta/apartament-de-vanzare-sfantu-gheorghe-simeria-2-camere-275690832" TargetMode="External"/><Relationship Id="rId149" Type="http://schemas.openxmlformats.org/officeDocument/2006/relationships/hyperlink" Target="https://www.imoradar24.ro/oferta/apartament-de-vanzare-sfantu-gheorghe-simeria-2-camere-1249445" TargetMode="External"/><Relationship Id="rId5" Type="http://schemas.openxmlformats.org/officeDocument/2006/relationships/hyperlink" Target="https://www.imoradar24.ro/oferta/apartament-de-vanzare-sfantu-gheorghe-sud-5-camere-1178359" TargetMode="External"/><Relationship Id="rId95" Type="http://schemas.openxmlformats.org/officeDocument/2006/relationships/hyperlink" Target="https://www.imobiliare.ro/oferta/apartament-de-vanzare-sfantu-gheorghe-simeria-mobilat-3-camere-275678917" TargetMode="External"/><Relationship Id="rId22" Type="http://schemas.openxmlformats.org/officeDocument/2006/relationships/hyperlink" Target="https://www.imoradar24.ro/oferta/apartament-de-vanzare-sfantu-gheorghe-central-3-camere-1026892" TargetMode="External"/><Relationship Id="rId27" Type="http://schemas.openxmlformats.org/officeDocument/2006/relationships/hyperlink" Target="https://www.imobiliare.ro/oferta/apartament-de-vanzare-sfantu-gheorghe-simeria-2-camere-274192521" TargetMode="External"/><Relationship Id="rId43" Type="http://schemas.openxmlformats.org/officeDocument/2006/relationships/hyperlink" Target="https://www.imoradar24.ro/oferta/apartament-de-vanzare-sfantu-gheorghe-central-2-camere-1297532" TargetMode="External"/><Relationship Id="rId48" Type="http://schemas.openxmlformats.org/officeDocument/2006/relationships/hyperlink" Target="https://www.imoradar24.ro/oferta/apartament-de-vanzare-sfantu-gheorghe-est-2-camere-1494501" TargetMode="External"/><Relationship Id="rId64" Type="http://schemas.openxmlformats.org/officeDocument/2006/relationships/hyperlink" Target="https://www.imobiliare.ro/oferta/apartament-de-vanzare-sfantu-gheorghe-garii-3-camere-275691555" TargetMode="External"/><Relationship Id="rId69" Type="http://schemas.openxmlformats.org/officeDocument/2006/relationships/hyperlink" Target="https://www.imoradar24.ro/oferta/apartament-de-vanzare-sfantu-gheorghe-central-2-camere-1483476" TargetMode="External"/><Relationship Id="rId113" Type="http://schemas.openxmlformats.org/officeDocument/2006/relationships/hyperlink" Target="https://www.imobiliare.ro/oferta/apartament-de-vanzare-sfantu-gheorghe-simeria-mobilat-2-camere-269092169" TargetMode="External"/><Relationship Id="rId118" Type="http://schemas.openxmlformats.org/officeDocument/2006/relationships/hyperlink" Target="https://www.imoradar24.ro/oferta/apartament-de-vanzare-sfantu-gheorghe-lenin-2-camere-1172231" TargetMode="External"/><Relationship Id="rId134" Type="http://schemas.openxmlformats.org/officeDocument/2006/relationships/hyperlink" Target="https://www.imoradar24.ro/oferta/garsoniera-de-vanzare-sfantu-gheorghe-central-28-mp-1759986" TargetMode="External"/><Relationship Id="rId139" Type="http://schemas.openxmlformats.org/officeDocument/2006/relationships/hyperlink" Target="https://www.imoradar24.ro/oferta/apartament-de-vanzare-sfantu-gheorghe-central-1444524" TargetMode="External"/><Relationship Id="rId80" Type="http://schemas.openxmlformats.org/officeDocument/2006/relationships/hyperlink" Target="https://www.imoradar24.ro/oferta/apartament-de-vanzare-sfantu-gheorghe-sud-2-camere-1709778" TargetMode="External"/><Relationship Id="rId85" Type="http://schemas.openxmlformats.org/officeDocument/2006/relationships/hyperlink" Target="https://www.imoradar24.ro/oferta/apartament-de-vanzare-sfantu-gheorghe-exterior-vest-2-camere-1737937" TargetMode="External"/><Relationship Id="rId150" Type="http://schemas.openxmlformats.org/officeDocument/2006/relationships/hyperlink" Target="https://www.imobiliare.ro/oferta/garsoniera-de-vanzare-sfantu-gheorghe-central-2838mp-275677037" TargetMode="External"/><Relationship Id="rId155" Type="http://schemas.openxmlformats.org/officeDocument/2006/relationships/table" Target="../tables/table1.xml"/><Relationship Id="rId12" Type="http://schemas.openxmlformats.org/officeDocument/2006/relationships/hyperlink" Target="https://www.imoradar24.ro/oferta/apartament-de-vanzare-sfantu-gheorghe-semicentral-3-camere-1192649" TargetMode="External"/><Relationship Id="rId17" Type="http://schemas.openxmlformats.org/officeDocument/2006/relationships/hyperlink" Target="https://www.imoradar24.ro/oferta/apartament-de-vanzare-sfantu-gheorghe-garii-3-camere-1474092" TargetMode="External"/><Relationship Id="rId33" Type="http://schemas.openxmlformats.org/officeDocument/2006/relationships/hyperlink" Target="https://www.imoradar24.ro/oferta/apartament-de-vanzare-sfantu-gheorghe-central-2-camere-1592805" TargetMode="External"/><Relationship Id="rId38" Type="http://schemas.openxmlformats.org/officeDocument/2006/relationships/hyperlink" Target="https://www.imoradar24.ro/oferta/apartament-de-vanzare-sfantu-gheorghe-central-3-camere-1345724" TargetMode="External"/><Relationship Id="rId59" Type="http://schemas.openxmlformats.org/officeDocument/2006/relationships/hyperlink" Target="https://www.imobiliare.ro/oferta/apartament-de-vanzare-sfantu-gheorghe-lenin-mobilat-2-camere-275599189" TargetMode="External"/><Relationship Id="rId103" Type="http://schemas.openxmlformats.org/officeDocument/2006/relationships/hyperlink" Target="https://www.imobiliare.ro/oferta/apartament-de-vanzare-sfantu-gheorghe-simeria-2-camere-275622148" TargetMode="External"/><Relationship Id="rId108" Type="http://schemas.openxmlformats.org/officeDocument/2006/relationships/hyperlink" Target="https://www.imoradar24.ro/oferta/apartament-de-vanzare-sfantu-gheorghe-lenin-2-camere-1593820" TargetMode="External"/><Relationship Id="rId124" Type="http://schemas.openxmlformats.org/officeDocument/2006/relationships/hyperlink" Target="https://www.imoradar24.ro/oferta/apartament-de-vanzare-sfantu-gheorghe-central-2-camere-1354540" TargetMode="External"/><Relationship Id="rId129" Type="http://schemas.openxmlformats.org/officeDocument/2006/relationships/hyperlink" Target="https://www.imoradar24.ro/oferta/apartament-de-vanzare-sfantu-gheorghe-central-2-camere-1266325" TargetMode="External"/><Relationship Id="rId54" Type="http://schemas.openxmlformats.org/officeDocument/2006/relationships/hyperlink" Target="https://www.imoradar24.ro/oferta/apartament-de-vanzare-sfantu-gheorghe-central-2-camere-1134207" TargetMode="External"/><Relationship Id="rId70" Type="http://schemas.openxmlformats.org/officeDocument/2006/relationships/hyperlink" Target="https://www.imoradar24.ro/oferta/apartament-de-vanzare-sfantu-gheorghe-lenin-2-camere-1636000" TargetMode="External"/><Relationship Id="rId75" Type="http://schemas.openxmlformats.org/officeDocument/2006/relationships/hyperlink" Target="https://www.imoradar24.ro/oferta/apartament-de-vanzare-sfantu-gheorghe-simeria-3-camere-1801103" TargetMode="External"/><Relationship Id="rId91" Type="http://schemas.openxmlformats.org/officeDocument/2006/relationships/hyperlink" Target="https://www.imoradar24.ro/oferta/apartament-de-vanzare-sfantu-gheorghe-simeria-3-camere-823390" TargetMode="External"/><Relationship Id="rId96" Type="http://schemas.openxmlformats.org/officeDocument/2006/relationships/hyperlink" Target="https://www.imoradar24.ro/oferta/apartament-de-vanzare-sfantu-gheorghe-simeria-3-camere-1252750" TargetMode="External"/><Relationship Id="rId140" Type="http://schemas.openxmlformats.org/officeDocument/2006/relationships/hyperlink" Target="https://www.imoradar24.ro/oferta/garsoniera-de-vanzare-sfantu-gheorghe-ciucului-mobilata-29-mp-1269393" TargetMode="External"/><Relationship Id="rId145" Type="http://schemas.openxmlformats.org/officeDocument/2006/relationships/hyperlink" Target="https://www.imoradar24.ro/oferta/garsoniera-de-vanzare-sfantu-gheorghe-lenin-24-mp-1601514" TargetMode="External"/><Relationship Id="rId1" Type="http://schemas.openxmlformats.org/officeDocument/2006/relationships/hyperlink" Target="https://www.imobiliare.ro/oferta/apartament-de-vanzare-sfantu-gheorghe-central-mobilat-3-camere-274490524" TargetMode="External"/><Relationship Id="rId6" Type="http://schemas.openxmlformats.org/officeDocument/2006/relationships/hyperlink" Target="https://www.imobiliare.ro/oferta/apartament-de-vanzare-sfantu-gheorghe-lenin-2-camere-271115868?utm_source=imoradar24.ro&amp;utm_medium=cpc&amp;utm_campaign=%5BSRC%5D+%5BBrand%5D" TargetMode="External"/><Relationship Id="rId23" Type="http://schemas.openxmlformats.org/officeDocument/2006/relationships/hyperlink" Target="https://www.imoradar24.ro/oferta/apartament-de-vanzare-sfantu-gheorghe-lenin-mobilat-3-camere-498485" TargetMode="External"/><Relationship Id="rId28" Type="http://schemas.openxmlformats.org/officeDocument/2006/relationships/hyperlink" Target="https://www.imoradar24.ro/oferta/apartament-de-vanzare-sfantu-gheorghe-ultracentral-2-camere-1364407" TargetMode="External"/><Relationship Id="rId49" Type="http://schemas.openxmlformats.org/officeDocument/2006/relationships/hyperlink" Target="https://www.imoradar24.ro/oferta/apartament-de-vanzare-sfantu-gheorghe-central-3-camere-1590981" TargetMode="External"/><Relationship Id="rId114" Type="http://schemas.openxmlformats.org/officeDocument/2006/relationships/hyperlink" Target="https://www.imoradar24.ro/oferta/apartament-de-vanzare-sfantu-gheorghe-sud-2-camere-1363408" TargetMode="External"/><Relationship Id="rId119" Type="http://schemas.openxmlformats.org/officeDocument/2006/relationships/hyperlink" Target="https://www.imoradar24.ro/oferta/apartament-de-vanzare-sfantu-gheorghe-central-3-camere-1584723" TargetMode="External"/><Relationship Id="rId44" Type="http://schemas.openxmlformats.org/officeDocument/2006/relationships/hyperlink" Target="https://www.imobiliare.ro/oferta/apartament-de-vanzare-sfantu-gheorghe-simeria-3-camere-275534655" TargetMode="External"/><Relationship Id="rId60" Type="http://schemas.openxmlformats.org/officeDocument/2006/relationships/hyperlink" Target="https://www.imoradar24.ro/oferta/apartament-de-vanzare-sfantu-gheorghe-semicentral-3-camere-671074" TargetMode="External"/><Relationship Id="rId65" Type="http://schemas.openxmlformats.org/officeDocument/2006/relationships/hyperlink" Target="https://www.imoradar24.ro/oferta/apartament-de-vanzare-sfantu-gheorghe-lenin-3-camere-1101991" TargetMode="External"/><Relationship Id="rId81" Type="http://schemas.openxmlformats.org/officeDocument/2006/relationships/hyperlink" Target="https://www.imoradar24.ro/oferta/apartament-de-vanzare-sfantu-gheorghe-sud-3-camere-1597794" TargetMode="External"/><Relationship Id="rId86" Type="http://schemas.openxmlformats.org/officeDocument/2006/relationships/hyperlink" Target="https://www.imoradar24.ro/oferta/apartament-de-vanzare-sfantu-gheorghe-central-2-camere-1392568" TargetMode="External"/><Relationship Id="rId130" Type="http://schemas.openxmlformats.org/officeDocument/2006/relationships/hyperlink" Target="https://www.imoradar24.ro/oferta/apartament-de-vanzare-sfantu-gheorghe-simeria-mobilat-2-camere-711967" TargetMode="External"/><Relationship Id="rId135" Type="http://schemas.openxmlformats.org/officeDocument/2006/relationships/hyperlink" Target="https://www.imobiliare.ro/oferta/apartament-de-vanzare-sfantu-gheorghe-simeria-mobilat-2-camere-275676439" TargetMode="External"/><Relationship Id="rId151" Type="http://schemas.openxmlformats.org/officeDocument/2006/relationships/hyperlink" Target="https://www.imoradar24.ro/oferta/garsoniera-de-vanzare-sfantu-gheorghe-central-28-mp-1485578" TargetMode="External"/><Relationship Id="rId156" Type="http://schemas.openxmlformats.org/officeDocument/2006/relationships/table" Target="../tables/table2.xml"/><Relationship Id="rId13" Type="http://schemas.openxmlformats.org/officeDocument/2006/relationships/hyperlink" Target="https://www.imobiliare.ro/oferta/apartament-de-vanzare-sfantu-gheorghe-simeria-4-camere-275596156?utm_source=imoradar24.ro&amp;utm_medium=cpc&amp;utm_campaign=%5BSRC%5D+%5BBrand%5D" TargetMode="External"/><Relationship Id="rId18" Type="http://schemas.openxmlformats.org/officeDocument/2006/relationships/hyperlink" Target="https://www.imoradar24.ro/oferta/apartament-de-vanzare-sfantu-gheorghe-garii-3-camere-1652099" TargetMode="External"/><Relationship Id="rId39" Type="http://schemas.openxmlformats.org/officeDocument/2006/relationships/hyperlink" Target="https://www.imoradar24.ro/oferta/apartament-de-vanzare-sfantu-gheorghe-exterior-vest-3-camere-1080625" TargetMode="External"/><Relationship Id="rId109" Type="http://schemas.openxmlformats.org/officeDocument/2006/relationships/hyperlink" Target="https://www.imoradar24.ro/oferta/apartament-de-vanzare-sfantu-gheorghe-lenin-2-camere-1412684" TargetMode="External"/><Relationship Id="rId34" Type="http://schemas.openxmlformats.org/officeDocument/2006/relationships/hyperlink" Target="https://www.imoradar24.ro/oferta/apartament-de-vanzare-sfantu-gheorghe-garii-mobilat-3-camere-538143" TargetMode="External"/><Relationship Id="rId50" Type="http://schemas.openxmlformats.org/officeDocument/2006/relationships/hyperlink" Target="https://www.imoradar24.ro/oferta/apartament-de-vanzare-sfantu-gheorghe-lenin-2-camere-1752581" TargetMode="External"/><Relationship Id="rId55" Type="http://schemas.openxmlformats.org/officeDocument/2006/relationships/hyperlink" Target="https://www.imoradar24.ro/oferta/apartament-de-vanzare-sfantu-gheorghe-central-3-camere-1483361" TargetMode="External"/><Relationship Id="rId76" Type="http://schemas.openxmlformats.org/officeDocument/2006/relationships/hyperlink" Target="https://www.imoradar24.ro/oferta/apartament-de-vanzare-sfantu-gheorghe-central-2-camere-228313" TargetMode="External"/><Relationship Id="rId97" Type="http://schemas.openxmlformats.org/officeDocument/2006/relationships/hyperlink" Target="https://www.imoradar24.ro/oferta/apartament-de-vanzare-sfantu-gheorghe-central-2-camere-1315443" TargetMode="External"/><Relationship Id="rId104" Type="http://schemas.openxmlformats.org/officeDocument/2006/relationships/hyperlink" Target="https://www.imoradar24.ro/oferta/apartament-de-vanzare-sfantu-gheorghe-simeria-mobilat-2-camere-1047649" TargetMode="External"/><Relationship Id="rId120" Type="http://schemas.openxmlformats.org/officeDocument/2006/relationships/hyperlink" Target="https://www.imoradar24.ro/oferta/apartament-de-vanzare-sfantu-gheorghe-central-2-camere-1575172" TargetMode="External"/><Relationship Id="rId125" Type="http://schemas.openxmlformats.org/officeDocument/2006/relationships/hyperlink" Target="https://www.imobiliare.ro/oferta/apartament-de-vanzare-sfantu-gheorghe-garii-2-camere-275526660" TargetMode="External"/><Relationship Id="rId141" Type="http://schemas.openxmlformats.org/officeDocument/2006/relationships/hyperlink" Target="https://www.imoradar24.ro/oferta/garsoniera-de-vanzare-sfantu-gheorghe-exterior-vest-30-mp-1737146" TargetMode="External"/><Relationship Id="rId146" Type="http://schemas.openxmlformats.org/officeDocument/2006/relationships/hyperlink" Target="https://www.imoradar24.ro/oferta/garsoniera-de-vanzare-sfantu-gheorghe-central-28-mp-1560638" TargetMode="External"/><Relationship Id="rId7" Type="http://schemas.openxmlformats.org/officeDocument/2006/relationships/hyperlink" Target="https://www.imobiliare.ro/oferta/apartament-de-vanzare-sfantu-gheorghe-central-mobilat-3-camere-275603518?utm_source=imoradar24.ro&amp;utm_medium=cpc&amp;utm_campaign=%5BSRC%5D+%5BBrand%5D" TargetMode="External"/><Relationship Id="rId71" Type="http://schemas.openxmlformats.org/officeDocument/2006/relationships/hyperlink" Target="https://www.imobiliare.ro/oferta/apartament-de-vanzare-sfantu-gheorghe-simeria-3-camere-263476408" TargetMode="External"/><Relationship Id="rId92" Type="http://schemas.openxmlformats.org/officeDocument/2006/relationships/hyperlink" Target="https://www.imobiliare.ro/oferta/apartament-de-vanzare-sfantu-gheorghe-garii-2-camere-268446714" TargetMode="External"/><Relationship Id="rId2" Type="http://schemas.openxmlformats.org/officeDocument/2006/relationships/hyperlink" Target="https://www.imobiliare.ro/oferta/apartament-de-vanzare-sfantu-gheorghe-spitalului-3-camere-272140030" TargetMode="External"/><Relationship Id="rId29" Type="http://schemas.openxmlformats.org/officeDocument/2006/relationships/hyperlink" Target="https://www.imoradar24.ro/oferta/apartament-de-vanzare-sfantu-gheorghe-exterior-sud-2-camere-1776532" TargetMode="External"/><Relationship Id="rId24" Type="http://schemas.openxmlformats.org/officeDocument/2006/relationships/hyperlink" Target="https://www.imoradar24.ro/oferta/apartament-de-vanzare-sfantu-gheorghe-lenin-mobilat-3-camere-1368893" TargetMode="External"/><Relationship Id="rId40" Type="http://schemas.openxmlformats.org/officeDocument/2006/relationships/hyperlink" Target="https://www.imoradar24.ro/oferta/apartament-de-vanzare-sfantu-gheorghe-simeria-mobilat-3-camere-1235012" TargetMode="External"/><Relationship Id="rId45" Type="http://schemas.openxmlformats.org/officeDocument/2006/relationships/hyperlink" Target="https://www.imoradar24.ro/oferta/apartament-de-vanzare-sfantu-gheorghe-central-2-camere-1390845" TargetMode="External"/><Relationship Id="rId66" Type="http://schemas.openxmlformats.org/officeDocument/2006/relationships/hyperlink" Target="https://www.imobiliare.ro/oferta/apartament-de-vanzare-sfantu-gheorghe-lenin-2-camere-275495773" TargetMode="External"/><Relationship Id="rId87" Type="http://schemas.openxmlformats.org/officeDocument/2006/relationships/hyperlink" Target="https://www.imoradar24.ro/oferta/apartament-de-vanzare-sfantu-gheorghe-simeria-3-camere-1756917" TargetMode="External"/><Relationship Id="rId110" Type="http://schemas.openxmlformats.org/officeDocument/2006/relationships/hyperlink" Target="https://www.imobiliare.ro/oferta/apartament-de-vanzare-sfantu-gheorghe-garii-2-camere-275618189" TargetMode="External"/><Relationship Id="rId115" Type="http://schemas.openxmlformats.org/officeDocument/2006/relationships/hyperlink" Target="https://www.imobiliare.ro/oferta/apartament-de-vanzare-sfantu-gheorghe-lenin-2-camere-275417591" TargetMode="External"/><Relationship Id="rId131" Type="http://schemas.openxmlformats.org/officeDocument/2006/relationships/hyperlink" Target="https://www.imoradar24.ro/oferta/apartament-de-vanzare-sfantu-gheorghe-central-2-camere-1339229" TargetMode="External"/><Relationship Id="rId136" Type="http://schemas.openxmlformats.org/officeDocument/2006/relationships/hyperlink" Target="https://www.imobiliare.ro/oferta/apartament-de-vanzare-sfantu-gheorghe-simeria-2-camere-275523007" TargetMode="External"/><Relationship Id="rId61" Type="http://schemas.openxmlformats.org/officeDocument/2006/relationships/hyperlink" Target="https://www.imobiliare.ro/oferta/apartament-de-vanzare-sfantu-gheorghe-simeria-mobilat-3-camere-275613804" TargetMode="External"/><Relationship Id="rId82" Type="http://schemas.openxmlformats.org/officeDocument/2006/relationships/hyperlink" Target="https://www.imoradar24.ro/oferta/apartament-de-vanzare-sfantu-gheorghe-garii-3-camere-1737040" TargetMode="External"/><Relationship Id="rId152" Type="http://schemas.openxmlformats.org/officeDocument/2006/relationships/hyperlink" Target="https://www.imoradar24.ro/oferta/garsoniera-de-vanzare-sfantu-gheorghe-central-21-mp-1742816" TargetMode="External"/><Relationship Id="rId19" Type="http://schemas.openxmlformats.org/officeDocument/2006/relationships/hyperlink" Target="https://www.imoradar24.ro/oferta/apartament-de-vanzare-sfantu-gheorghe-simeria-mobilat-3-camere-467073" TargetMode="External"/><Relationship Id="rId14" Type="http://schemas.openxmlformats.org/officeDocument/2006/relationships/hyperlink" Target="https://www.imoradar24.ro/oferta/apartament-de-vanzare-sfantu-gheorghe-simeria-3-camere-1200920" TargetMode="External"/><Relationship Id="rId30" Type="http://schemas.openxmlformats.org/officeDocument/2006/relationships/hyperlink" Target="https://www.imobiliare.ro/oferta/apartament-de-vanzare-sfantu-gheorghe-lenin-4-camere-275640475" TargetMode="External"/><Relationship Id="rId35" Type="http://schemas.openxmlformats.org/officeDocument/2006/relationships/hyperlink" Target="https://www.imobiliare.ro/oferta/apartament-de-vanzare-sfantu-gheorghe-garii-3-camere-270162780" TargetMode="External"/><Relationship Id="rId56" Type="http://schemas.openxmlformats.org/officeDocument/2006/relationships/hyperlink" Target="https://www.imoradar24.ro/oferta/apartament-de-vanzare-sfantu-gheorghe-lenin-mobilat-2-camere-1240090" TargetMode="External"/><Relationship Id="rId77" Type="http://schemas.openxmlformats.org/officeDocument/2006/relationships/hyperlink" Target="https://www.imoradar24.ro/oferta/apartament-de-vanzare-sfantu-gheorghe-central-2-camere-1251550" TargetMode="External"/><Relationship Id="rId100" Type="http://schemas.openxmlformats.org/officeDocument/2006/relationships/hyperlink" Target="https://www.imoradar24.ro/oferta/apartament-de-vanzare-sfantu-gheorghe-central-2-camere-890888" TargetMode="External"/><Relationship Id="rId105" Type="http://schemas.openxmlformats.org/officeDocument/2006/relationships/hyperlink" Target="https://www.imoradar24.ro/oferta/apartament-de-vanzare-sfantu-gheorghe-simeria-2-camere-1172938" TargetMode="External"/><Relationship Id="rId126" Type="http://schemas.openxmlformats.org/officeDocument/2006/relationships/hyperlink" Target="https://www.imobiliare.ro/oferta/apartament-de-vanzare-sfantu-gheorghe-central-2-camere-275633460" TargetMode="External"/><Relationship Id="rId147" Type="http://schemas.openxmlformats.org/officeDocument/2006/relationships/hyperlink" Target="https://www.imobiliare.ro/oferta/garsoniera-de-vanzare-sfantu-gheorghe-lenin-30mp-275328176" TargetMode="External"/><Relationship Id="rId8" Type="http://schemas.openxmlformats.org/officeDocument/2006/relationships/hyperlink" Target="https://www.imoradar24.ro/oferta/apartament-de-vanzare-sfantu-gheorghe-central-3-camere-1619957" TargetMode="External"/><Relationship Id="rId51" Type="http://schemas.openxmlformats.org/officeDocument/2006/relationships/hyperlink" Target="https://www.imoradar24.ro/oferta/apartament-de-vanzare-sfantu-gheorghe-exterior-vest-3-camere-1675269" TargetMode="External"/><Relationship Id="rId72" Type="http://schemas.openxmlformats.org/officeDocument/2006/relationships/hyperlink" Target="https://www.imoradar24.ro/oferta/apartament-de-vanzare-sfantu-gheorghe-central-2-camere-1165844" TargetMode="External"/><Relationship Id="rId93" Type="http://schemas.openxmlformats.org/officeDocument/2006/relationships/hyperlink" Target="https://www.imobiliare.ro/oferta/apartament-de-vanzare-sfantu-gheorghe-semicentral-mobilat-2-camere-275465029" TargetMode="External"/><Relationship Id="rId98" Type="http://schemas.openxmlformats.org/officeDocument/2006/relationships/hyperlink" Target="https://www.imoradar24.ro/oferta/apartament-de-vanzare-sfantu-gheorghe-central-2-camere-361107" TargetMode="External"/><Relationship Id="rId121" Type="http://schemas.openxmlformats.org/officeDocument/2006/relationships/hyperlink" Target="https://www.imobiliare.ro/oferta/apartament-de-vanzare-sfantu-gheorghe-semicentral-2-camere-275553520" TargetMode="External"/><Relationship Id="rId142" Type="http://schemas.openxmlformats.org/officeDocument/2006/relationships/hyperlink" Target="https://www.imoradar24.ro/oferta/garsoniera-de-vanzare-sfantu-gheorghe-central-30-mp-1495621" TargetMode="External"/><Relationship Id="rId3" Type="http://schemas.openxmlformats.org/officeDocument/2006/relationships/hyperlink" Target="https://www.imoradar24.ro/oferta/apartament-de-vanzare-sfantu-gheorghe-central-3-camere-1593735" TargetMode="External"/><Relationship Id="rId25" Type="http://schemas.openxmlformats.org/officeDocument/2006/relationships/hyperlink" Target="https://www.imoradar24.ro/oferta/apartament-de-vanzare-sfantu-gheorghe-simeria-mobilat-3-camere-1548998" TargetMode="External"/><Relationship Id="rId46" Type="http://schemas.openxmlformats.org/officeDocument/2006/relationships/hyperlink" Target="https://www.imobiliare.ro/oferta/apartament-de-vanzare-sfantu-gheorghe-lenin-mobilat-2-camere-275538319" TargetMode="External"/><Relationship Id="rId67" Type="http://schemas.openxmlformats.org/officeDocument/2006/relationships/hyperlink" Target="https://www.imobiliare.ro/oferta/apartament-de-vanzare-sfantu-gheorghe-lenin-2-camere-275353478" TargetMode="External"/><Relationship Id="rId116" Type="http://schemas.openxmlformats.org/officeDocument/2006/relationships/hyperlink" Target="https://www.imobiliare.ro/oferta/apartament-de-vanzare-sfantu-gheorghe-simeria-2-camere-275647927" TargetMode="External"/><Relationship Id="rId137" Type="http://schemas.openxmlformats.org/officeDocument/2006/relationships/hyperlink" Target="https://www.imoradar24.ro/oferta/apartament-de-vanzare-sfantu-gheorghe-simeria-3-camere-1116951" TargetMode="External"/><Relationship Id="rId20" Type="http://schemas.openxmlformats.org/officeDocument/2006/relationships/hyperlink" Target="https://www.imoradar24.ro/oferta/apartament-de-vanzare-sfantu-gheorghe-central-3-camere-1426235" TargetMode="External"/><Relationship Id="rId41" Type="http://schemas.openxmlformats.org/officeDocument/2006/relationships/hyperlink" Target="https://www.imoradar24.ro/oferta/apartament-de-vanzare-sfantu-gheorghe-simeria-2-camere-1299304" TargetMode="External"/><Relationship Id="rId62" Type="http://schemas.openxmlformats.org/officeDocument/2006/relationships/hyperlink" Target="https://www.imoradar24.ro/oferta/apartament-de-vanzare-sfantu-gheorghe-central-3-camere-1416183" TargetMode="External"/><Relationship Id="rId83" Type="http://schemas.openxmlformats.org/officeDocument/2006/relationships/hyperlink" Target="https://www.imobiliare.ro/oferta/apartament-de-vanzare-sfantu-gheorghe-garii-3-camere-269086065" TargetMode="External"/><Relationship Id="rId88" Type="http://schemas.openxmlformats.org/officeDocument/2006/relationships/hyperlink" Target="https://www.imoradar24.ro/oferta/apartament-de-vanzare-sfantu-gheorghe-lenin-3-camere-707024" TargetMode="External"/><Relationship Id="rId111" Type="http://schemas.openxmlformats.org/officeDocument/2006/relationships/hyperlink" Target="https://www.imobiliare.ro/oferta/apartament-de-vanzare-sfantu-gheorghe-garii-2-camere-275612428" TargetMode="External"/><Relationship Id="rId132" Type="http://schemas.openxmlformats.org/officeDocument/2006/relationships/hyperlink" Target="https://www.imobiliare.ro/oferta/apartament-de-vanzare-sfantu-gheorghe-semicentral-2-camere-275592684" TargetMode="External"/><Relationship Id="rId153" Type="http://schemas.openxmlformats.org/officeDocument/2006/relationships/hyperlink" Target="https://www.imoradar24.ro/oferta/apartament-de-vanzare-sfantu-gheorghe-central-4-camere-1880935" TargetMode="External"/><Relationship Id="rId15" Type="http://schemas.openxmlformats.org/officeDocument/2006/relationships/hyperlink" Target="https://www.imoradar24.ro/oferta/apartament-de-vanzare-sfantu-gheorghe-sud-2-camere-1747091" TargetMode="External"/><Relationship Id="rId36" Type="http://schemas.openxmlformats.org/officeDocument/2006/relationships/hyperlink" Target="https://www.imoradar24.ro/oferta/apartament-de-vanzare-sfantu-gheorghe-semicentral-mobilat-3-camere-498484" TargetMode="External"/><Relationship Id="rId57" Type="http://schemas.openxmlformats.org/officeDocument/2006/relationships/hyperlink" Target="https://www.imoradar24.ro/oferta/apartament-de-vanzare-sfantu-gheorghe-central-2-camere-1551939" TargetMode="External"/><Relationship Id="rId106" Type="http://schemas.openxmlformats.org/officeDocument/2006/relationships/hyperlink" Target="https://www.imobiliare.ro/oferta/apartament-de-vanzare-sfantu-gheorghe-simeria-mobilat-3-camere-275603923" TargetMode="External"/><Relationship Id="rId127" Type="http://schemas.openxmlformats.org/officeDocument/2006/relationships/hyperlink" Target="https://www.imoradar24.ro/oferta/apartament-de-vanzare-sfantu-gheorghe-garii-2-camere-1188061" TargetMode="External"/><Relationship Id="rId10" Type="http://schemas.openxmlformats.org/officeDocument/2006/relationships/hyperlink" Target="https://www.imoradar24.ro/oferta/apartament-de-vanzare-sfantu-gheorghe-lenin-3-camere-1641502" TargetMode="External"/><Relationship Id="rId31" Type="http://schemas.openxmlformats.org/officeDocument/2006/relationships/hyperlink" Target="https://www.imobiliare.ro/oferta/apartament-de-vanzare-sfantu-gheorghe-central-mobilat-2-camere-275618001" TargetMode="External"/><Relationship Id="rId52" Type="http://schemas.openxmlformats.org/officeDocument/2006/relationships/hyperlink" Target="https://www.imobiliare.ro/oferta/apartament-de-vanzare-sfantu-gheorghe-garii-3-camere-270117035" TargetMode="External"/><Relationship Id="rId73" Type="http://schemas.openxmlformats.org/officeDocument/2006/relationships/hyperlink" Target="https://www.imoradar24.ro/oferta/apartament-de-vanzare-sfantu-gheorghe-lenin-mobilat-3-camere-1101322" TargetMode="External"/><Relationship Id="rId78" Type="http://schemas.openxmlformats.org/officeDocument/2006/relationships/hyperlink" Target="https://www.imoradar24.ro/oferta/apartament-de-vanzare-sfantu-gheorghe-central-mobilat-2-camere-1485288" TargetMode="External"/><Relationship Id="rId94" Type="http://schemas.openxmlformats.org/officeDocument/2006/relationships/hyperlink" Target="https://www.imobiliare.ro/oferta/apartament-de-vanzare-sfantu-gheorghe-simeria-3-camere-275569893" TargetMode="External"/><Relationship Id="rId99" Type="http://schemas.openxmlformats.org/officeDocument/2006/relationships/hyperlink" Target="https://www.imobiliare.ro/oferta/apartament-de-vanzare-sfantu-gheorghe-simeria-mobilat-2-camere-275532917" TargetMode="External"/><Relationship Id="rId101" Type="http://schemas.openxmlformats.org/officeDocument/2006/relationships/hyperlink" Target="https://www.imoradar24.ro/oferta/apartament-de-vanzare-sfantu-gheorghe-central-2-camere-1497576" TargetMode="External"/><Relationship Id="rId122" Type="http://schemas.openxmlformats.org/officeDocument/2006/relationships/hyperlink" Target="https://www.imoradar24.ro/oferta/apartament-de-vanzare-sfantu-gheorghe-simeria-2-camere-1641996" TargetMode="External"/><Relationship Id="rId143" Type="http://schemas.openxmlformats.org/officeDocument/2006/relationships/hyperlink" Target="https://www.imoradar24.ro/oferta/apartament-de-vanzare-sfantu-gheorghe-simeria-mobilat-2-camere-1335977" TargetMode="External"/><Relationship Id="rId148" Type="http://schemas.openxmlformats.org/officeDocument/2006/relationships/hyperlink" Target="https://www.imoradar24.ro/oferta/garsoniera-de-vanzare-sfantu-gheorghe-nord-37-mp-1674148" TargetMode="External"/><Relationship Id="rId4" Type="http://schemas.openxmlformats.org/officeDocument/2006/relationships/hyperlink" Target="https://www.imobiliare.ro/oferta/apartament-de-vanzare-sfantu-gheorghe-lenin-4-camere-275490104" TargetMode="External"/><Relationship Id="rId9" Type="http://schemas.openxmlformats.org/officeDocument/2006/relationships/hyperlink" Target="https://www.imoradar24.ro/oferta/apartament-de-vanzare-sfantu-gheorghe-sud-2-camere-1028471" TargetMode="External"/><Relationship Id="rId26" Type="http://schemas.openxmlformats.org/officeDocument/2006/relationships/hyperlink" Target="https://www.imoradar24.ro/oferta/apartament-de-vanzare-sfantu-gheorghe-semicentral-3-camere-478197" TargetMode="External"/><Relationship Id="rId47" Type="http://schemas.openxmlformats.org/officeDocument/2006/relationships/hyperlink" Target="https://www.imoradar24.ro/oferta/apartament-de-vanzare-sfantu-gheorghe-simeria-3-camere-1657607" TargetMode="External"/><Relationship Id="rId68" Type="http://schemas.openxmlformats.org/officeDocument/2006/relationships/hyperlink" Target="https://www.imoradar24.ro/oferta/apartament-de-vanzare-sfantu-gheorghe-nord-2-camere-1264815" TargetMode="External"/><Relationship Id="rId89" Type="http://schemas.openxmlformats.org/officeDocument/2006/relationships/hyperlink" Target="https://www.imoradar24.ro/oferta/apartament-de-vanzare-sfantu-gheorghe-central-3-camere-1552655" TargetMode="External"/><Relationship Id="rId112" Type="http://schemas.openxmlformats.org/officeDocument/2006/relationships/hyperlink" Target="https://www.imoradar24.ro/oferta/apartament-de-vanzare-sfantu-gheorghe-garii-2-camere-1704598" TargetMode="External"/><Relationship Id="rId133" Type="http://schemas.openxmlformats.org/officeDocument/2006/relationships/hyperlink" Target="https://www.imoradar24.ro/oferta/apartament-de-vanzare-sfantu-gheorghe-simeria-2-camere-1794964" TargetMode="External"/><Relationship Id="rId154" Type="http://schemas.openxmlformats.org/officeDocument/2006/relationships/hyperlink" Target="https://www.imoradar24.ro/oferta/apartament-de-vanzare-sfantu-gheorghe-central-5-camere-1178359" TargetMode="External"/><Relationship Id="rId16" Type="http://schemas.openxmlformats.org/officeDocument/2006/relationships/hyperlink" Target="https://www.imoradar24.ro/oferta/apartament-de-vanzare-sfantu-gheorghe-simeria-4-camere-1172594" TargetMode="External"/><Relationship Id="rId37" Type="http://schemas.openxmlformats.org/officeDocument/2006/relationships/hyperlink" Target="https://www.imobiliare.ro/oferta/apartament-de-vanzare-sfantu-gheorghe-central-mobilat-2-camere-275202653" TargetMode="External"/><Relationship Id="rId58" Type="http://schemas.openxmlformats.org/officeDocument/2006/relationships/hyperlink" Target="https://www.imobiliare.ro/oferta/apartament-de-vanzare-sfantu-gheorghe-simeria-mobilat-2-camere-275401305" TargetMode="External"/><Relationship Id="rId79" Type="http://schemas.openxmlformats.org/officeDocument/2006/relationships/hyperlink" Target="https://www.imobiliare.ro/oferta/apartament-de-vanzare-sfantu-gheorghe-central-2-camere-275606764" TargetMode="External"/><Relationship Id="rId102" Type="http://schemas.openxmlformats.org/officeDocument/2006/relationships/hyperlink" Target="https://www.imoradar24.ro/oferta/apartament-de-vanzare-sfantu-gheorghe-simeria-2-camere-1610465" TargetMode="External"/><Relationship Id="rId123" Type="http://schemas.openxmlformats.org/officeDocument/2006/relationships/hyperlink" Target="https://www.imoradar24.ro/oferta/apartament-de-vanzare-sfantu-gheorghe-spitalului-3-camere-659404" TargetMode="External"/><Relationship Id="rId144" Type="http://schemas.openxmlformats.org/officeDocument/2006/relationships/hyperlink" Target="https://www.imobiliare.ro/oferta/garsoniera-de-vanzare-sfantu-gheorghe-central-27mp-275692886" TargetMode="External"/><Relationship Id="rId90" Type="http://schemas.openxmlformats.org/officeDocument/2006/relationships/hyperlink" Target="https://www.imoradar24.ro/oferta/apartament-de-vanzare-sfantu-gheorghe-central-2-camere-1033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4"/>
  <sheetViews>
    <sheetView tabSelected="1" topLeftCell="K1" workbookViewId="0">
      <selection activeCell="T4" sqref="T4"/>
    </sheetView>
  </sheetViews>
  <sheetFormatPr defaultRowHeight="15"/>
  <cols>
    <col min="1" max="1" width="35" bestFit="1" customWidth="1"/>
    <col min="2" max="2" width="24.140625" customWidth="1"/>
    <col min="3" max="3" width="20.42578125" customWidth="1"/>
    <col min="4" max="4" width="20.42578125" bestFit="1" customWidth="1"/>
    <col min="5" max="5" width="36.5703125" bestFit="1" customWidth="1"/>
    <col min="7" max="7" width="9.42578125" bestFit="1" customWidth="1"/>
    <col min="8" max="8" width="12.5703125" bestFit="1" customWidth="1"/>
    <col min="9" max="9" width="9.42578125" bestFit="1" customWidth="1"/>
    <col min="10" max="10" width="12.85546875" bestFit="1" customWidth="1"/>
    <col min="11" max="11" width="10.28515625" bestFit="1" customWidth="1"/>
    <col min="12" max="12" width="12.5703125" bestFit="1" customWidth="1"/>
    <col min="13" max="13" width="13" customWidth="1"/>
    <col min="14" max="14" width="36.5703125" bestFit="1" customWidth="1"/>
    <col min="15" max="15" width="11.28515625" bestFit="1" customWidth="1"/>
    <col min="16" max="16" width="11.7109375" bestFit="1" customWidth="1"/>
    <col min="19" max="19" width="13.42578125" bestFit="1" customWidth="1"/>
    <col min="20" max="20" width="3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3" t="s">
        <v>16</v>
      </c>
      <c r="R1" s="13" t="s">
        <v>17</v>
      </c>
      <c r="S1" s="13" t="s">
        <v>18</v>
      </c>
    </row>
    <row r="2" spans="1:20">
      <c r="A2">
        <v>1</v>
      </c>
      <c r="B2" s="17" t="s">
        <v>19</v>
      </c>
      <c r="C2" s="16" t="str">
        <f>HYPERLINK(tab_alap[[#This Row],[Link]], "Megnyitás ↗")</f>
        <v>Megnyitás ↗</v>
      </c>
      <c r="D2">
        <v>62</v>
      </c>
      <c r="E2">
        <v>125000</v>
      </c>
      <c r="F2">
        <v>97</v>
      </c>
      <c r="G2">
        <f>tab_alap[[#This Row],[Ár]]/tab_alap[[#This Row],[Nm]]</f>
        <v>1288.659793814433</v>
      </c>
      <c r="H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5</v>
      </c>
      <c r="I2" s="3" t="s">
        <v>20</v>
      </c>
      <c r="J2" s="5" t="str">
        <f>HYPERLINK("https://www.google.com/maps/search/?api=1&amp;query=" &amp; tab_alap[[#This Row],[Y]] &amp; "," &amp; tab_alap[[#This Row],[X]], "Megnyitás")</f>
        <v>Megnyitás</v>
      </c>
      <c r="K2" s="15" t="b">
        <v>0</v>
      </c>
      <c r="L2" t="s">
        <v>21</v>
      </c>
      <c r="M2" t="str">
        <f>LEFT(tab_alap[[#This Row],[állapot]],1) &amp; tab_alap[[#This Row],[Térképjelölés]]</f>
        <v>f62</v>
      </c>
      <c r="N2" s="20" t="s">
        <v>22</v>
      </c>
      <c r="O2" s="9" t="s">
        <v>23</v>
      </c>
      <c r="Q2" s="13" t="s">
        <v>24</v>
      </c>
      <c r="R2" s="13" t="s">
        <v>25</v>
      </c>
      <c r="S2" s="13" t="s">
        <v>26</v>
      </c>
    </row>
    <row r="3" spans="1:20">
      <c r="A3">
        <v>2</v>
      </c>
      <c r="B3" s="1" t="s">
        <v>27</v>
      </c>
      <c r="C3" s="5" t="str">
        <f>HYPERLINK(tab_alap[[#This Row],[Link]], "Megnyitás ↗")</f>
        <v>Megnyitás ↗</v>
      </c>
      <c r="D3">
        <v>1</v>
      </c>
      <c r="E3">
        <v>135500</v>
      </c>
      <c r="F3">
        <v>68</v>
      </c>
      <c r="G3">
        <f>tab_alap[[#This Row],[Ár]]/tab_alap[[#This Row],[Nm]]</f>
        <v>1992.6470588235295</v>
      </c>
      <c r="H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3" s="3" t="s">
        <v>28</v>
      </c>
      <c r="J3" s="5" t="str">
        <f>HYPERLINK("https://www.google.com/maps/search/?api=1&amp;query=" &amp; tab_alap[[#This Row],[Y]] &amp; "," &amp; tab_alap[[#This Row],[X]], "Megnyitás")</f>
        <v>Megnyitás</v>
      </c>
      <c r="K3" s="15" t="b">
        <v>0</v>
      </c>
      <c r="L3" t="s">
        <v>29</v>
      </c>
      <c r="M3" t="str">
        <f>LEFT(tab_alap[[#This Row],[állapot]],1) &amp; tab_alap[[#This Row],[Térképjelölés]]</f>
        <v>j1</v>
      </c>
      <c r="N3" s="14" t="str">
        <f>_xlfn.XLOOKUP(tab_alap[[#This Row],[azonosito]], Koordinatak[azonosito_1], Koordinatak[X_1], "-")</f>
        <v>25.7866797</v>
      </c>
      <c r="O3" t="str">
        <f>_xlfn.XLOOKUP(tab_alap[[#This Row],[azonosito]], Koordinatak[azonosito_1], Koordinatak[Y_1], "-")</f>
        <v>45.8675859</v>
      </c>
      <c r="Q3" s="13" t="s">
        <v>30</v>
      </c>
      <c r="R3" s="13" t="s">
        <v>31</v>
      </c>
      <c r="S3" s="13" t="s">
        <v>32</v>
      </c>
    </row>
    <row r="4" spans="1:20">
      <c r="A4">
        <v>3</v>
      </c>
      <c r="B4" s="1" t="s">
        <v>33</v>
      </c>
      <c r="C4" s="5" t="str">
        <f>HYPERLINK(tab_alap[[#This Row],[Link]], "Megnyitás ↗")</f>
        <v>Megnyitás ↗</v>
      </c>
      <c r="D4">
        <v>2</v>
      </c>
      <c r="E4">
        <v>132000</v>
      </c>
      <c r="F4">
        <v>85</v>
      </c>
      <c r="G4">
        <f>tab_alap[[#This Row],[Ár]]/tab_alap[[#This Row],[Nm]]</f>
        <v>1552.9411764705883</v>
      </c>
      <c r="H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" s="3" t="s">
        <v>34</v>
      </c>
      <c r="J4" s="5" t="str">
        <f>HYPERLINK("https://www.google.com/maps/search/?api=1&amp;query=" &amp; tab_alap[[#This Row],[Y]] &amp; "," &amp; tab_alap[[#This Row],[X]], "Megnyitás")</f>
        <v>Megnyitás</v>
      </c>
      <c r="K4" s="15" t="b">
        <v>0</v>
      </c>
      <c r="L4" t="s">
        <v>29</v>
      </c>
      <c r="M4" t="str">
        <f>LEFT(tab_alap[[#This Row],[állapot]],1) &amp; tab_alap[[#This Row],[Térképjelölés]]</f>
        <v>j2</v>
      </c>
      <c r="N4" s="14" t="str">
        <f>_xlfn.XLOOKUP(tab_alap[[#This Row],[azonosito]], Koordinatak[azonosito_1], Koordinatak[X_1], "-")</f>
        <v>25.7784872</v>
      </c>
      <c r="O4" t="str">
        <f>_xlfn.XLOOKUP(tab_alap[[#This Row],[azonosito]], Koordinatak[azonosito_1], Koordinatak[Y_1], "-")</f>
        <v>45.8623993</v>
      </c>
      <c r="Q4" s="13" t="s">
        <v>35</v>
      </c>
      <c r="R4" s="13" t="s">
        <v>36</v>
      </c>
      <c r="S4" s="13" t="s">
        <v>37</v>
      </c>
    </row>
    <row r="5" spans="1:20">
      <c r="A5">
        <v>4</v>
      </c>
      <c r="B5" s="1" t="s">
        <v>38</v>
      </c>
      <c r="C5" s="5" t="str">
        <f>HYPERLINK(tab_alap[[#This Row],[Link]], "Megnyitás ↗")</f>
        <v>Megnyitás ↗</v>
      </c>
      <c r="D5">
        <v>3</v>
      </c>
      <c r="E5">
        <v>130000</v>
      </c>
      <c r="F5">
        <v>77</v>
      </c>
      <c r="G5">
        <f>tab_alap[[#This Row],[Ár]]/tab_alap[[#This Row],[Nm]]</f>
        <v>1688.3116883116884</v>
      </c>
      <c r="H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5" s="3" t="s">
        <v>39</v>
      </c>
      <c r="J5" s="5" t="str">
        <f>HYPERLINK("https://www.google.com/maps/search/?api=1&amp;query=" &amp; tab_alap[[#This Row],[Y]] &amp; "," &amp; tab_alap[[#This Row],[X]], "Megnyitás")</f>
        <v>Megnyitás</v>
      </c>
      <c r="K5" s="15" t="b">
        <v>0</v>
      </c>
      <c r="L5" t="s">
        <v>29</v>
      </c>
      <c r="M5" t="str">
        <f>LEFT(tab_alap[[#This Row],[állapot]],1) &amp; tab_alap[[#This Row],[Térképjelölés]]</f>
        <v>j3</v>
      </c>
      <c r="N5" s="14" t="str">
        <f>_xlfn.XLOOKUP(tab_alap[[#This Row],[azonosito]], Koordinatak[azonosito_1], Koordinatak[X_1], "-")</f>
        <v>25.7936644</v>
      </c>
      <c r="O5" t="str">
        <f>_xlfn.XLOOKUP(tab_alap[[#This Row],[azonosito]], Koordinatak[azonosito_1], Koordinatak[Y_1], "-")</f>
        <v>45.8554323</v>
      </c>
      <c r="Q5" s="13" t="s">
        <v>40</v>
      </c>
      <c r="R5" s="13" t="s">
        <v>41</v>
      </c>
      <c r="S5" s="13" t="s">
        <v>42</v>
      </c>
    </row>
    <row r="6" spans="1:20">
      <c r="A6">
        <v>5</v>
      </c>
      <c r="B6" s="1" t="s">
        <v>43</v>
      </c>
      <c r="C6" s="5" t="str">
        <f>HYPERLINK(tab_alap[[#This Row],[Link]], "Megnyitás ↗")</f>
        <v>Megnyitás ↗</v>
      </c>
      <c r="D6">
        <v>4</v>
      </c>
      <c r="E6">
        <v>128000</v>
      </c>
      <c r="F6" s="2">
        <v>80.7</v>
      </c>
      <c r="G6">
        <f>tab_alap[[#This Row],[Ár]]/tab_alap[[#This Row],[Nm]]</f>
        <v>1586.1214374225526</v>
      </c>
      <c r="H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6" s="3" t="s">
        <v>20</v>
      </c>
      <c r="J6" s="5" t="str">
        <f>HYPERLINK("https://www.google.com/maps/search/?api=1&amp;query=" &amp; tab_alap[[#This Row],[Y]] &amp; "," &amp; tab_alap[[#This Row],[X]], "Megnyitás")</f>
        <v>Megnyitás</v>
      </c>
      <c r="K6" s="15" t="b">
        <v>0</v>
      </c>
      <c r="L6" t="s">
        <v>29</v>
      </c>
      <c r="M6" t="str">
        <f>LEFT(tab_alap[[#This Row],[állapot]],1) &amp; tab_alap[[#This Row],[Térképjelölés]]</f>
        <v>j4</v>
      </c>
      <c r="N6" s="14" t="str">
        <f>_xlfn.XLOOKUP(tab_alap[[#This Row],[azonosito]], Koordinatak[azonosito_1], Koordinatak[X_1], "-")</f>
        <v>25.7966987</v>
      </c>
      <c r="O6" t="str">
        <f>_xlfn.XLOOKUP(tab_alap[[#This Row],[azonosito]], Koordinatak[azonosito_1], Koordinatak[Y_1], "-")</f>
        <v>45.8597048</v>
      </c>
      <c r="Q6" s="13" t="s">
        <v>44</v>
      </c>
      <c r="R6" s="13" t="s">
        <v>45</v>
      </c>
      <c r="S6" s="13" t="s">
        <v>46</v>
      </c>
    </row>
    <row r="7" spans="1:20">
      <c r="A7">
        <v>6</v>
      </c>
      <c r="B7" s="1" t="s">
        <v>47</v>
      </c>
      <c r="C7" s="5" t="str">
        <f>HYPERLINK(tab_alap[[#This Row],[Link]], "Megnyitás ↗")</f>
        <v>Megnyitás ↗</v>
      </c>
      <c r="D7">
        <v>1</v>
      </c>
      <c r="E7">
        <v>125000</v>
      </c>
      <c r="F7">
        <v>97.5</v>
      </c>
      <c r="G7">
        <f>tab_alap[[#This Row],[Ár]]/tab_alap[[#This Row],[Nm]]</f>
        <v>1282.051282051282</v>
      </c>
      <c r="H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5</v>
      </c>
      <c r="I7" s="3" t="s">
        <v>20</v>
      </c>
      <c r="J7" s="5" t="str">
        <f>HYPERLINK("https://www.google.com/maps/search/?api=1&amp;query=" &amp; tab_alap[[#This Row],[Y]] &amp; "," &amp; tab_alap[[#This Row],[X]], "Megnyitás")</f>
        <v>Megnyitás</v>
      </c>
      <c r="K7" s="15" t="b">
        <v>0</v>
      </c>
      <c r="L7" t="s">
        <v>21</v>
      </c>
      <c r="M7" t="str">
        <f>LEFT(tab_alap[[#This Row],[állapot]],1) &amp; tab_alap[[#This Row],[Térképjelölés]]</f>
        <v>f1</v>
      </c>
      <c r="N7" s="14" t="str">
        <f>_xlfn.XLOOKUP(tab_alap[[#This Row],[azonosito]], Koordinatak[azonosito_1], Koordinatak[X_1], "-")</f>
        <v>25.7980647</v>
      </c>
      <c r="O7" t="str">
        <f>_xlfn.XLOOKUP(tab_alap[[#This Row],[azonosito]], Koordinatak[azonosito_1], Koordinatak[Y_1], "-")</f>
        <v>45.859225</v>
      </c>
      <c r="Q7" s="13" t="s">
        <v>48</v>
      </c>
      <c r="R7" s="13" t="s">
        <v>49</v>
      </c>
      <c r="S7" s="13" t="s">
        <v>50</v>
      </c>
    </row>
    <row r="8" spans="1:20">
      <c r="A8">
        <v>7</v>
      </c>
      <c r="B8" s="1" t="s">
        <v>51</v>
      </c>
      <c r="C8" s="5" t="str">
        <f>HYPERLINK(tab_alap[[#This Row],[Link]], "Megnyitás ↗")</f>
        <v>Megnyitás ↗</v>
      </c>
      <c r="D8">
        <v>2</v>
      </c>
      <c r="E8">
        <v>118157</v>
      </c>
      <c r="F8">
        <v>55.3</v>
      </c>
      <c r="G8">
        <f>tab_alap[[#This Row],[Ár]]/tab_alap[[#This Row],[Nm]]</f>
        <v>2136.6546112115734</v>
      </c>
      <c r="H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" s="3" t="s">
        <v>52</v>
      </c>
      <c r="J8" s="5" t="str">
        <f>HYPERLINK("https://www.google.com/maps/search/?api=1&amp;query=" &amp; tab_alap[[#This Row],[Y]] &amp; "," &amp; tab_alap[[#This Row],[X]], "Megnyitás")</f>
        <v>Megnyitás</v>
      </c>
      <c r="K8" s="15" t="b">
        <v>0</v>
      </c>
      <c r="L8" t="s">
        <v>53</v>
      </c>
      <c r="M8" t="str">
        <f>LEFT(tab_alap[[#This Row],[állapot]],1) &amp; tab_alap[[#This Row],[Térképjelölés]]</f>
        <v>ú2</v>
      </c>
      <c r="N8" s="14" t="str">
        <f>_xlfn.XLOOKUP(tab_alap[[#This Row],[azonosito]], Koordinatak[azonosito_1], Koordinatak[X_1], "-")</f>
        <v>-</v>
      </c>
      <c r="O8" t="str">
        <f>_xlfn.XLOOKUP(tab_alap[[#This Row],[azonosito]], Koordinatak[azonosito_1], Koordinatak[Y_1], "-")</f>
        <v>-</v>
      </c>
      <c r="Q8" s="13" t="s">
        <v>54</v>
      </c>
      <c r="R8" s="13" t="s">
        <v>55</v>
      </c>
      <c r="S8" s="13" t="s">
        <v>56</v>
      </c>
    </row>
    <row r="9" spans="1:20">
      <c r="A9">
        <v>8</v>
      </c>
      <c r="B9" s="1" t="s">
        <v>57</v>
      </c>
      <c r="C9" s="5" t="str">
        <f>HYPERLINK(tab_alap[[#This Row],[Link]], "Megnyitás ↗")</f>
        <v>Megnyitás ↗</v>
      </c>
      <c r="D9">
        <v>5</v>
      </c>
      <c r="E9">
        <v>116900</v>
      </c>
      <c r="F9">
        <v>63</v>
      </c>
      <c r="G9">
        <f>tab_alap[[#This Row],[Ár]]/tab_alap[[#This Row],[Nm]]</f>
        <v>1855.5555555555557</v>
      </c>
      <c r="H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" s="3" t="s">
        <v>58</v>
      </c>
      <c r="J9" s="5" t="str">
        <f>HYPERLINK("https://www.google.com/maps/search/?api=1&amp;query=" &amp; tab_alap[[#This Row],[Y]] &amp; "," &amp; tab_alap[[#This Row],[X]], "Megnyitás")</f>
        <v>Megnyitás</v>
      </c>
      <c r="K9" s="15" t="b">
        <v>0</v>
      </c>
      <c r="L9" t="s">
        <v>29</v>
      </c>
      <c r="M9" t="str">
        <f>LEFT(tab_alap[[#This Row],[állapot]],1) &amp; tab_alap[[#This Row],[Térképjelölés]]</f>
        <v>j5</v>
      </c>
      <c r="N9" s="14" t="str">
        <f>_xlfn.XLOOKUP(tab_alap[[#This Row],[azonosito]], Koordinatak[azonosito_1], Koordinatak[X_1], "-")</f>
        <v>25.7879157</v>
      </c>
      <c r="O9" t="str">
        <f>_xlfn.XLOOKUP(tab_alap[[#This Row],[azonosito]], Koordinatak[azonosito_1], Koordinatak[Y_1], "-")</f>
        <v>45.8589723</v>
      </c>
      <c r="Q9" s="13" t="s">
        <v>59</v>
      </c>
      <c r="R9" s="13" t="s">
        <v>60</v>
      </c>
      <c r="S9" s="13" t="s">
        <v>61</v>
      </c>
    </row>
    <row r="10" spans="1:20">
      <c r="A10">
        <v>9</v>
      </c>
      <c r="B10" s="1" t="s">
        <v>62</v>
      </c>
      <c r="C10" s="5" t="str">
        <f>HYPERLINK(tab_alap[[#This Row],[Link]], "Megnyitás ↗")</f>
        <v>Megnyitás ↗</v>
      </c>
      <c r="D10">
        <v>1</v>
      </c>
      <c r="E10">
        <v>116000</v>
      </c>
      <c r="F10">
        <v>68</v>
      </c>
      <c r="G10">
        <f>tab_alap[[#This Row],[Ár]]/tab_alap[[#This Row],[Nm]]</f>
        <v>1705.8823529411766</v>
      </c>
      <c r="H1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0" s="3" t="s">
        <v>28</v>
      </c>
      <c r="J10" s="5" t="str">
        <f>HYPERLINK("https://www.google.com/maps/search/?api=1&amp;query=" &amp; tab_alap[[#This Row],[Y]] &amp; "," &amp; tab_alap[[#This Row],[X]], "Megnyitás")</f>
        <v>Megnyitás</v>
      </c>
      <c r="K10" s="15" t="b">
        <v>0</v>
      </c>
      <c r="L10" t="s">
        <v>63</v>
      </c>
      <c r="M10" t="str">
        <f>LEFT(tab_alap[[#This Row],[állapot]],1) &amp; tab_alap[[#This Row],[Térképjelölés]]</f>
        <v>r1</v>
      </c>
      <c r="N10" s="14" t="str">
        <f>_xlfn.XLOOKUP(tab_alap[[#This Row],[azonosito]], Koordinatak[azonosito_1], Koordinatak[X_1], "-")</f>
        <v>25.7899697</v>
      </c>
      <c r="O10" t="str">
        <f>_xlfn.XLOOKUP(tab_alap[[#This Row],[azonosito]], Koordinatak[azonosito_1], Koordinatak[Y_1], "-")</f>
        <v>45.8586127</v>
      </c>
      <c r="Q10" s="13" t="s">
        <v>64</v>
      </c>
      <c r="R10" s="13" t="s">
        <v>65</v>
      </c>
      <c r="S10" s="13" t="s">
        <v>66</v>
      </c>
    </row>
    <row r="11" spans="1:20">
      <c r="A11">
        <v>10</v>
      </c>
      <c r="B11" s="1" t="s">
        <v>67</v>
      </c>
      <c r="C11" s="5" t="str">
        <f>HYPERLINK(tab_alap[[#This Row],[Link]], "Megnyitás ↗")</f>
        <v>Megnyitás ↗</v>
      </c>
      <c r="D11">
        <v>2</v>
      </c>
      <c r="E11">
        <v>115000</v>
      </c>
      <c r="F11">
        <v>58</v>
      </c>
      <c r="G11">
        <f>tab_alap[[#This Row],[Ár]]/tab_alap[[#This Row],[Nm]]</f>
        <v>1982.7586206896551</v>
      </c>
      <c r="H1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" s="3" t="s">
        <v>58</v>
      </c>
      <c r="J11" s="5" t="str">
        <f>HYPERLINK("https://www.google.com/maps/search/?api=1&amp;query=" &amp; tab_alap[[#This Row],[Y]] &amp; "," &amp; tab_alap[[#This Row],[X]], "Megnyitás")</f>
        <v>Megnyitás</v>
      </c>
      <c r="K11" s="15" t="b">
        <v>0</v>
      </c>
      <c r="L11" t="s">
        <v>63</v>
      </c>
      <c r="M11" t="str">
        <f>LEFT(tab_alap[[#This Row],[állapot]],1) &amp; tab_alap[[#This Row],[Térképjelölés]]</f>
        <v>r2</v>
      </c>
      <c r="N11" s="14" t="str">
        <f>_xlfn.XLOOKUP(tab_alap[[#This Row],[azonosito]], Koordinatak[azonosito_1], Koordinatak[X_1], "-")</f>
        <v>25.7874015</v>
      </c>
      <c r="O11" t="str">
        <f>_xlfn.XLOOKUP(tab_alap[[#This Row],[azonosito]], Koordinatak[azonosito_1], Koordinatak[Y_1], "-")</f>
        <v>45.8625301</v>
      </c>
      <c r="Q11" s="13" t="s">
        <v>68</v>
      </c>
      <c r="R11" s="13" t="s">
        <v>69</v>
      </c>
      <c r="S11" s="13" t="s">
        <v>70</v>
      </c>
    </row>
    <row r="12" spans="1:20">
      <c r="A12">
        <v>11</v>
      </c>
      <c r="B12" s="1" t="s">
        <v>71</v>
      </c>
      <c r="C12" s="5" t="str">
        <f>HYPERLINK(tab_alap[[#This Row],[Link]], "Megnyitás ↗")</f>
        <v>Megnyitás ↗</v>
      </c>
      <c r="D12">
        <v>3</v>
      </c>
      <c r="E12">
        <v>112900</v>
      </c>
      <c r="F12">
        <v>74</v>
      </c>
      <c r="G12">
        <f>tab_alap[[#This Row],[Ár]]/tab_alap[[#This Row],[Nm]]</f>
        <v>1525.6756756756756</v>
      </c>
      <c r="H1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2" s="3" t="s">
        <v>20</v>
      </c>
      <c r="J12" s="5" t="str">
        <f>HYPERLINK("https://www.google.com/maps/search/?api=1&amp;query=" &amp; tab_alap[[#This Row],[Y]] &amp; "," &amp; tab_alap[[#This Row],[X]], "Megnyitás")</f>
        <v>Megnyitás</v>
      </c>
      <c r="K12" s="15" t="b">
        <v>0</v>
      </c>
      <c r="L12" t="s">
        <v>63</v>
      </c>
      <c r="M12" t="str">
        <f>LEFT(tab_alap[[#This Row],[állapot]],1) &amp; tab_alap[[#This Row],[Térképjelölés]]</f>
        <v>r3</v>
      </c>
      <c r="N12" s="14" t="str">
        <f>_xlfn.XLOOKUP(tab_alap[[#This Row],[azonosito]], Koordinatak[azonosito_1], Koordinatak[X_1], "-")</f>
        <v>25.7961354</v>
      </c>
      <c r="O12" t="str">
        <f>_xlfn.XLOOKUP(tab_alap[[#This Row],[azonosito]], Koordinatak[azonosito_1], Koordinatak[Y_1], "-")</f>
        <v>45.8589316</v>
      </c>
      <c r="Q12" s="13" t="s">
        <v>72</v>
      </c>
      <c r="R12" s="13" t="s">
        <v>73</v>
      </c>
      <c r="S12" s="13" t="s">
        <v>74</v>
      </c>
    </row>
    <row r="13" spans="1:20">
      <c r="A13">
        <v>12</v>
      </c>
      <c r="B13" s="1" t="s">
        <v>75</v>
      </c>
      <c r="C13" s="5" t="str">
        <f>HYPERLINK(tab_alap[[#This Row],[Link]], "Megnyitás ↗")</f>
        <v>Megnyitás ↗</v>
      </c>
      <c r="D13">
        <v>2</v>
      </c>
      <c r="E13">
        <v>110000</v>
      </c>
      <c r="F13">
        <v>80</v>
      </c>
      <c r="G13">
        <f>tab_alap[[#This Row],[Ár]]/tab_alap[[#This Row],[Nm]]</f>
        <v>1375</v>
      </c>
      <c r="H1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13" s="3" t="s">
        <v>76</v>
      </c>
      <c r="J13" s="5" t="str">
        <f>HYPERLINK("https://www.google.com/maps/search/?api=1&amp;query=" &amp; tab_alap[[#This Row],[Y]] &amp; "," &amp; tab_alap[[#This Row],[X]], "Megnyitás")</f>
        <v>Megnyitás</v>
      </c>
      <c r="K13" s="15" t="b">
        <v>0</v>
      </c>
      <c r="L13" t="s">
        <v>21</v>
      </c>
      <c r="M13" t="str">
        <f>LEFT(tab_alap[[#This Row],[állapot]],1) &amp; tab_alap[[#This Row],[Térképjelölés]]</f>
        <v>f2</v>
      </c>
      <c r="N13" s="14" t="str">
        <f>_xlfn.XLOOKUP(tab_alap[[#This Row],[azonosito]], Koordinatak[azonosito_1], Koordinatak[X_1], "-")</f>
        <v>25.773417</v>
      </c>
      <c r="O13" t="str">
        <f>_xlfn.XLOOKUP(tab_alap[[#This Row],[azonosito]], Koordinatak[azonosito_1], Koordinatak[Y_1], "-")</f>
        <v>45.8600449</v>
      </c>
      <c r="Q13" s="13" t="s">
        <v>77</v>
      </c>
      <c r="R13" s="13" t="s">
        <v>78</v>
      </c>
      <c r="S13" s="13" t="s">
        <v>79</v>
      </c>
    </row>
    <row r="14" spans="1:20">
      <c r="A14">
        <v>13</v>
      </c>
      <c r="B14" s="1" t="s">
        <v>80</v>
      </c>
      <c r="C14" s="5" t="str">
        <f>HYPERLINK(tab_alap[[#This Row],[Link]], "Megnyitás ↗")</f>
        <v>Megnyitás ↗</v>
      </c>
      <c r="D14">
        <v>6</v>
      </c>
      <c r="E14">
        <v>110000</v>
      </c>
      <c r="F14">
        <v>71</v>
      </c>
      <c r="G14">
        <f>tab_alap[[#This Row],[Ár]]/tab_alap[[#This Row],[Nm]]</f>
        <v>1549.2957746478874</v>
      </c>
      <c r="H1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4" s="3" t="s">
        <v>28</v>
      </c>
      <c r="J14" s="5" t="str">
        <f>HYPERLINK("https://www.google.com/maps/search/?api=1&amp;query=" &amp; tab_alap[[#This Row],[Y]] &amp; "," &amp; tab_alap[[#This Row],[X]], "Megnyitás")</f>
        <v>Megnyitás</v>
      </c>
      <c r="K14" s="15" t="b">
        <v>0</v>
      </c>
      <c r="L14" t="s">
        <v>29</v>
      </c>
      <c r="M14" t="str">
        <f>LEFT(tab_alap[[#This Row],[állapot]],1) &amp; tab_alap[[#This Row],[Térképjelölés]]</f>
        <v>j6</v>
      </c>
      <c r="N14" s="14" t="str">
        <f>_xlfn.XLOOKUP(tab_alap[[#This Row],[azonosito]], Koordinatak[azonosito_1], Koordinatak[X_1], "-")</f>
        <v>25.7938206</v>
      </c>
      <c r="O14" t="str">
        <f>_xlfn.XLOOKUP(tab_alap[[#This Row],[azonosito]], Koordinatak[azonosito_1], Koordinatak[Y_1], "-")</f>
        <v>45.8674366</v>
      </c>
      <c r="Q14" s="13" t="s">
        <v>81</v>
      </c>
      <c r="R14" s="13" t="s">
        <v>82</v>
      </c>
      <c r="S14" s="13" t="s">
        <v>83</v>
      </c>
      <c r="T14" s="9"/>
    </row>
    <row r="15" spans="1:20">
      <c r="A15">
        <v>14</v>
      </c>
      <c r="B15" s="1" t="s">
        <v>84</v>
      </c>
      <c r="C15" s="5" t="str">
        <f>HYPERLINK(tab_alap[[#This Row],[Link]], "Megnyitás ↗")</f>
        <v>Megnyitás ↗</v>
      </c>
      <c r="D15">
        <v>7</v>
      </c>
      <c r="E15">
        <v>109900</v>
      </c>
      <c r="F15">
        <v>70.5</v>
      </c>
      <c r="G15">
        <f>tab_alap[[#This Row],[Ár]]/tab_alap[[#This Row],[Nm]]</f>
        <v>1558.8652482269504</v>
      </c>
      <c r="H1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15" s="3" t="s">
        <v>58</v>
      </c>
      <c r="J15" s="5" t="str">
        <f>HYPERLINK("https://www.google.com/maps/search/?api=1&amp;query=" &amp; tab_alap[[#This Row],[Y]] &amp; "," &amp; tab_alap[[#This Row],[X]], "Megnyitás")</f>
        <v>Megnyitás</v>
      </c>
      <c r="K15" s="15" t="b">
        <v>0</v>
      </c>
      <c r="L15" t="s">
        <v>29</v>
      </c>
      <c r="M15" t="str">
        <f>LEFT(tab_alap[[#This Row],[állapot]],1) &amp; tab_alap[[#This Row],[Térképjelölés]]</f>
        <v>j7</v>
      </c>
      <c r="N15" s="14" t="str">
        <f>_xlfn.XLOOKUP(tab_alap[[#This Row],[azonosito]], Koordinatak[azonosito_1], Koordinatak[X_1], "-")</f>
        <v>25.7800811</v>
      </c>
      <c r="O15" t="str">
        <f>_xlfn.XLOOKUP(tab_alap[[#This Row],[azonosito]], Koordinatak[azonosito_1], Koordinatak[Y_1], "-")</f>
        <v>45.8581938</v>
      </c>
      <c r="Q15" s="13" t="s">
        <v>85</v>
      </c>
      <c r="R15" s="13" t="s">
        <v>86</v>
      </c>
      <c r="S15" s="13" t="s">
        <v>87</v>
      </c>
    </row>
    <row r="16" spans="1:20">
      <c r="A16">
        <v>15</v>
      </c>
      <c r="B16" s="1" t="s">
        <v>88</v>
      </c>
      <c r="C16" s="5" t="str">
        <f>HYPERLINK(tab_alap[[#This Row],[Link]], "Megnyitás ↗")</f>
        <v>Megnyitás ↗</v>
      </c>
      <c r="D16">
        <v>8</v>
      </c>
      <c r="E16">
        <v>107000</v>
      </c>
      <c r="F16">
        <v>83.4</v>
      </c>
      <c r="G16">
        <f>tab_alap[[#This Row],[Ár]]/tab_alap[[#This Row],[Nm]]</f>
        <v>1282.9736211031175</v>
      </c>
      <c r="H1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6" s="3" t="s">
        <v>76</v>
      </c>
      <c r="J16" s="5" t="str">
        <f>HYPERLINK("https://www.google.com/maps/search/?api=1&amp;query=" &amp; tab_alap[[#This Row],[Y]] &amp; "," &amp; tab_alap[[#This Row],[X]], "Megnyitás")</f>
        <v>Megnyitás</v>
      </c>
      <c r="K16" s="15" t="b">
        <v>0</v>
      </c>
      <c r="L16" t="s">
        <v>29</v>
      </c>
      <c r="M16" t="str">
        <f>LEFT(tab_alap[[#This Row],[állapot]],1) &amp; tab_alap[[#This Row],[Térképjelölés]]</f>
        <v>j8</v>
      </c>
      <c r="N16" s="14" t="str">
        <f>_xlfn.XLOOKUP(tab_alap[[#This Row],[azonosito]], Koordinatak[azonosito_1], Koordinatak[X_1], "-")</f>
        <v>25.7781723</v>
      </c>
      <c r="O16" t="str">
        <f>_xlfn.XLOOKUP(tab_alap[[#This Row],[azonosito]], Koordinatak[azonosito_1], Koordinatak[Y_1], "-")</f>
        <v>45.8579027</v>
      </c>
      <c r="Q16" s="13" t="s">
        <v>89</v>
      </c>
      <c r="R16" s="13" t="s">
        <v>90</v>
      </c>
      <c r="S16" s="13" t="s">
        <v>91</v>
      </c>
    </row>
    <row r="17" spans="1:19">
      <c r="A17">
        <v>16</v>
      </c>
      <c r="B17" s="1" t="s">
        <v>92</v>
      </c>
      <c r="C17" s="5" t="str">
        <f>HYPERLINK(tab_alap[[#This Row],[Link]], "Megnyitás ↗")</f>
        <v>Megnyitás ↗</v>
      </c>
      <c r="D17">
        <v>9</v>
      </c>
      <c r="E17">
        <v>105000</v>
      </c>
      <c r="F17">
        <v>52.8</v>
      </c>
      <c r="G17">
        <f>tab_alap[[#This Row],[Ár]]/tab_alap[[#This Row],[Nm]]</f>
        <v>1988.6363636363637</v>
      </c>
      <c r="H1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7" s="3" t="s">
        <v>76</v>
      </c>
      <c r="J17" s="5" t="str">
        <f>HYPERLINK("https://www.google.com/maps/search/?api=1&amp;query=" &amp; tab_alap[[#This Row],[Y]] &amp; "," &amp; tab_alap[[#This Row],[X]], "Megnyitás")</f>
        <v>Megnyitás</v>
      </c>
      <c r="K17" s="15" t="b">
        <v>0</v>
      </c>
      <c r="L17" t="s">
        <v>29</v>
      </c>
      <c r="M17" t="str">
        <f>LEFT(tab_alap[[#This Row],[állapot]],1) &amp; tab_alap[[#This Row],[Térképjelölés]]</f>
        <v>j9</v>
      </c>
      <c r="N17" s="14" t="str">
        <f>_xlfn.XLOOKUP(tab_alap[[#This Row],[azonosito]], Koordinatak[azonosito_1], Koordinatak[X_1], "-")</f>
        <v>25.7945753</v>
      </c>
      <c r="O17" t="str">
        <f>_xlfn.XLOOKUP(tab_alap[[#This Row],[azonosito]], Koordinatak[azonosito_1], Koordinatak[Y_1], "-")</f>
        <v>45.8583686</v>
      </c>
      <c r="Q17" s="13" t="s">
        <v>93</v>
      </c>
      <c r="R17" s="13" t="s">
        <v>94</v>
      </c>
      <c r="S17" s="13" t="s">
        <v>95</v>
      </c>
    </row>
    <row r="18" spans="1:19">
      <c r="A18">
        <v>17</v>
      </c>
      <c r="B18" s="1" t="s">
        <v>96</v>
      </c>
      <c r="C18" s="5" t="str">
        <f>HYPERLINK(tab_alap[[#This Row],[Link]], "Megnyitás ↗")</f>
        <v>Megnyitás ↗</v>
      </c>
      <c r="D18">
        <v>3</v>
      </c>
      <c r="E18">
        <v>99900</v>
      </c>
      <c r="F18">
        <v>75</v>
      </c>
      <c r="G18">
        <f>tab_alap[[#This Row],[Ár]]/tab_alap[[#This Row],[Nm]]</f>
        <v>1332</v>
      </c>
      <c r="H1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18" s="3" t="s">
        <v>58</v>
      </c>
      <c r="J18" s="5" t="str">
        <f>HYPERLINK("https://www.google.com/maps/search/?api=1&amp;query=" &amp; tab_alap[[#This Row],[Y]] &amp; "," &amp; tab_alap[[#This Row],[X]], "Megnyitás")</f>
        <v>Megnyitás</v>
      </c>
      <c r="K18" s="15" t="b">
        <v>0</v>
      </c>
      <c r="L18" t="s">
        <v>21</v>
      </c>
      <c r="M18" t="str">
        <f>LEFT(tab_alap[[#This Row],[állapot]],1) &amp; tab_alap[[#This Row],[Térképjelölés]]</f>
        <v>f3</v>
      </c>
      <c r="N18" s="14" t="str">
        <f>_xlfn.XLOOKUP(tab_alap[[#This Row],[azonosito]], Koordinatak[azonosito_1], Koordinatak[X_1], "-")</f>
        <v>25.7776621</v>
      </c>
      <c r="O18" t="str">
        <f>_xlfn.XLOOKUP(tab_alap[[#This Row],[azonosito]], Koordinatak[azonosito_1], Koordinatak[Y_1], "-")</f>
        <v>45.8574415</v>
      </c>
      <c r="Q18" s="13" t="s">
        <v>97</v>
      </c>
      <c r="R18" s="13" t="s">
        <v>98</v>
      </c>
      <c r="S18" s="13" t="s">
        <v>99</v>
      </c>
    </row>
    <row r="19" spans="1:19">
      <c r="A19">
        <v>18</v>
      </c>
      <c r="B19" s="1" t="s">
        <v>100</v>
      </c>
      <c r="C19" s="5" t="str">
        <f>HYPERLINK(tab_alap[[#This Row],[Link]], "Megnyitás ↗")</f>
        <v>Megnyitás ↗</v>
      </c>
      <c r="D19">
        <v>4</v>
      </c>
      <c r="E19">
        <v>99800</v>
      </c>
      <c r="F19">
        <v>74</v>
      </c>
      <c r="G19">
        <f>tab_alap[[#This Row],[Ár]]/tab_alap[[#This Row],[Nm]]</f>
        <v>1348.6486486486488</v>
      </c>
      <c r="H1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9" s="3" t="s">
        <v>101</v>
      </c>
      <c r="J19" s="5" t="str">
        <f>HYPERLINK("https://www.google.com/maps/search/?api=1&amp;query=" &amp; tab_alap[[#This Row],[Y]] &amp; "," &amp; tab_alap[[#This Row],[X]], "Megnyitás")</f>
        <v>Megnyitás</v>
      </c>
      <c r="K19" s="15" t="b">
        <v>0</v>
      </c>
      <c r="L19" t="s">
        <v>63</v>
      </c>
      <c r="M19" t="str">
        <f>LEFT(tab_alap[[#This Row],[állapot]],1) &amp; tab_alap[[#This Row],[Térképjelölés]]</f>
        <v>r4</v>
      </c>
      <c r="N19" s="14" t="str">
        <f>_xlfn.XLOOKUP(tab_alap[[#This Row],[azonosito]], Koordinatak[azonosito_1], Koordinatak[X_1], "-")</f>
        <v>25.8071698</v>
      </c>
      <c r="O19" t="str">
        <f>_xlfn.XLOOKUP(tab_alap[[#This Row],[azonosito]], Koordinatak[azonosito_1], Koordinatak[Y_1], "-")</f>
        <v>45.8649146</v>
      </c>
      <c r="Q19" s="13" t="s">
        <v>102</v>
      </c>
      <c r="R19" s="13" t="s">
        <v>103</v>
      </c>
      <c r="S19" s="13" t="s">
        <v>104</v>
      </c>
    </row>
    <row r="20" spans="1:19">
      <c r="A20">
        <v>19</v>
      </c>
      <c r="B20" s="1" t="s">
        <v>105</v>
      </c>
      <c r="C20" s="5" t="str">
        <f>HYPERLINK(tab_alap[[#This Row],[Link]], "Megnyitás ↗")</f>
        <v>Megnyitás ↗</v>
      </c>
      <c r="D20">
        <v>5</v>
      </c>
      <c r="E20">
        <v>99800</v>
      </c>
      <c r="F20">
        <v>71</v>
      </c>
      <c r="G20">
        <f>tab_alap[[#This Row],[Ár]]/tab_alap[[#This Row],[Nm]]</f>
        <v>1405.6338028169014</v>
      </c>
      <c r="H2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0" s="3" t="s">
        <v>106</v>
      </c>
      <c r="J20" s="5" t="str">
        <f>HYPERLINK("https://www.google.com/maps/search/?api=1&amp;query=" &amp; tab_alap[[#This Row],[Y]] &amp; "," &amp; tab_alap[[#This Row],[X]], "Megnyitás")</f>
        <v>Megnyitás</v>
      </c>
      <c r="K20" s="15" t="b">
        <v>0</v>
      </c>
      <c r="L20" t="s">
        <v>63</v>
      </c>
      <c r="M20" t="str">
        <f>LEFT(tab_alap[[#This Row],[állapot]],1) &amp; tab_alap[[#This Row],[Térképjelölés]]</f>
        <v>r5</v>
      </c>
      <c r="N20" s="14" t="str">
        <f>_xlfn.XLOOKUP(tab_alap[[#This Row],[azonosito]], Koordinatak[azonosito_1], Koordinatak[X_1], "-")</f>
        <v>25.8080603</v>
      </c>
      <c r="O20" t="str">
        <f>_xlfn.XLOOKUP(tab_alap[[#This Row],[azonosito]], Koordinatak[azonosito_1], Koordinatak[Y_1], "-")</f>
        <v>45.8626844</v>
      </c>
      <c r="Q20" s="13" t="s">
        <v>107</v>
      </c>
      <c r="R20" s="13" t="s">
        <v>108</v>
      </c>
      <c r="S20" s="13" t="s">
        <v>109</v>
      </c>
    </row>
    <row r="21" spans="1:19">
      <c r="A21">
        <v>20</v>
      </c>
      <c r="B21" s="1" t="s">
        <v>110</v>
      </c>
      <c r="C21" s="5" t="str">
        <f>HYPERLINK(tab_alap[[#This Row],[Link]], "Megnyitás ↗")</f>
        <v>Megnyitás ↗</v>
      </c>
      <c r="D21">
        <v>10</v>
      </c>
      <c r="E21">
        <v>98600</v>
      </c>
      <c r="F21">
        <v>62</v>
      </c>
      <c r="G21">
        <f>tab_alap[[#This Row],[Ár]]/tab_alap[[#This Row],[Nm]]</f>
        <v>1590.3225806451612</v>
      </c>
      <c r="H2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1" s="3" t="s">
        <v>20</v>
      </c>
      <c r="J21" s="5" t="str">
        <f>HYPERLINK("https://www.google.com/maps/search/?api=1&amp;query=" &amp; tab_alap[[#This Row],[Y]] &amp; "," &amp; tab_alap[[#This Row],[X]], "Megnyitás")</f>
        <v>Megnyitás</v>
      </c>
      <c r="K21" s="15" t="b">
        <v>0</v>
      </c>
      <c r="L21" t="s">
        <v>111</v>
      </c>
      <c r="M21" t="str">
        <f>LEFT(tab_alap[[#This Row],[állapot]],1) &amp; tab_alap[[#This Row],[Térképjelölés]]</f>
        <v>j10</v>
      </c>
      <c r="N21" s="14" t="str">
        <f>_xlfn.XLOOKUP(tab_alap[[#This Row],[azonosito]], Koordinatak[azonosito_1], Koordinatak[X_1], "-")</f>
        <v>25.7787985</v>
      </c>
      <c r="O21" t="str">
        <f>_xlfn.XLOOKUP(tab_alap[[#This Row],[azonosito]], Koordinatak[azonosito_1], Koordinatak[Y_1], "-")</f>
        <v>45.8577506</v>
      </c>
      <c r="Q21" s="13" t="s">
        <v>112</v>
      </c>
      <c r="R21" s="13" t="s">
        <v>113</v>
      </c>
      <c r="S21" s="13" t="s">
        <v>114</v>
      </c>
    </row>
    <row r="22" spans="1:19">
      <c r="A22">
        <v>21</v>
      </c>
      <c r="B22" s="1" t="s">
        <v>115</v>
      </c>
      <c r="C22" s="5" t="str">
        <f>HYPERLINK(tab_alap[[#This Row],[Link]], "Megnyitás ↗")</f>
        <v>Megnyitás ↗</v>
      </c>
      <c r="D22">
        <v>6</v>
      </c>
      <c r="E22">
        <v>98380</v>
      </c>
      <c r="F22">
        <v>73</v>
      </c>
      <c r="G22">
        <f>tab_alap[[#This Row],[Ár]]/tab_alap[[#This Row],[Nm]]</f>
        <v>1347.6712328767123</v>
      </c>
      <c r="H2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2" s="3" t="s">
        <v>116</v>
      </c>
      <c r="J22" s="5" t="str">
        <f>HYPERLINK("https://www.google.com/maps/search/?api=1&amp;query=" &amp; tab_alap[[#This Row],[Y]] &amp; "," &amp; tab_alap[[#This Row],[X]], "Megnyitás")</f>
        <v>Megnyitás</v>
      </c>
      <c r="K22" s="15" t="b">
        <v>0</v>
      </c>
      <c r="L22" t="s">
        <v>63</v>
      </c>
      <c r="M22" t="str">
        <f>LEFT(tab_alap[[#This Row],[állapot]],1) &amp; tab_alap[[#This Row],[Térképjelölés]]</f>
        <v>r6</v>
      </c>
      <c r="N22" s="14" t="str">
        <f>_xlfn.XLOOKUP(tab_alap[[#This Row],[azonosito]], Koordinatak[azonosito_1], Koordinatak[X_1], "-")</f>
        <v>25.8073726</v>
      </c>
      <c r="O22" t="str">
        <f>_xlfn.XLOOKUP(tab_alap[[#This Row],[azonosito]], Koordinatak[azonosito_1], Koordinatak[Y_1], "-")</f>
        <v>45.8643195</v>
      </c>
      <c r="Q22" s="13" t="s">
        <v>117</v>
      </c>
      <c r="R22" s="13" t="s">
        <v>118</v>
      </c>
      <c r="S22" s="13" t="s">
        <v>119</v>
      </c>
    </row>
    <row r="23" spans="1:19">
      <c r="A23">
        <v>22</v>
      </c>
      <c r="B23" s="1" t="s">
        <v>120</v>
      </c>
      <c r="C23" s="5" t="str">
        <f>HYPERLINK(tab_alap[[#This Row],[Link]], "Megnyitás ↗")</f>
        <v>Megnyitás ↗</v>
      </c>
      <c r="D23">
        <v>4</v>
      </c>
      <c r="E23">
        <v>98000</v>
      </c>
      <c r="F23">
        <v>79</v>
      </c>
      <c r="G23">
        <f>tab_alap[[#This Row],[Ár]]/tab_alap[[#This Row],[Nm]]</f>
        <v>1240.506329113924</v>
      </c>
      <c r="H2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23" s="3" t="s">
        <v>58</v>
      </c>
      <c r="J23" s="5" t="str">
        <f>HYPERLINK("https://www.google.com/maps/search/?api=1&amp;query=" &amp; tab_alap[[#This Row],[Y]] &amp; "," &amp; tab_alap[[#This Row],[X]], "Megnyitás")</f>
        <v>Megnyitás</v>
      </c>
      <c r="K23" s="15" t="b">
        <v>0</v>
      </c>
      <c r="L23" t="s">
        <v>21</v>
      </c>
      <c r="M23" t="str">
        <f>LEFT(tab_alap[[#This Row],[állapot]],1) &amp; tab_alap[[#This Row],[Térképjelölés]]</f>
        <v>f4</v>
      </c>
      <c r="N23" s="14" t="str">
        <f>_xlfn.XLOOKUP(tab_alap[[#This Row],[azonosito]], Koordinatak[azonosito_1], Koordinatak[X_1], "-")</f>
        <v>25.7732964</v>
      </c>
      <c r="O23" t="str">
        <f>_xlfn.XLOOKUP(tab_alap[[#This Row],[azonosito]], Koordinatak[azonosito_1], Koordinatak[Y_1], "-")</f>
        <v>45.8601096</v>
      </c>
      <c r="Q23" s="13" t="s">
        <v>121</v>
      </c>
      <c r="R23" s="13" t="s">
        <v>122</v>
      </c>
      <c r="S23" s="13" t="s">
        <v>123</v>
      </c>
    </row>
    <row r="24" spans="1:19">
      <c r="A24">
        <v>23</v>
      </c>
      <c r="B24" s="1" t="s">
        <v>124</v>
      </c>
      <c r="C24" s="5" t="str">
        <f>HYPERLINK(tab_alap[[#This Row],[Link]], "Megnyitás ↗")</f>
        <v>Megnyitás ↗</v>
      </c>
      <c r="D24">
        <v>7</v>
      </c>
      <c r="E24">
        <v>98000</v>
      </c>
      <c r="F24">
        <v>70</v>
      </c>
      <c r="G24">
        <f>tab_alap[[#This Row],[Ár]]/tab_alap[[#This Row],[Nm]]</f>
        <v>1400</v>
      </c>
      <c r="H2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4" s="3" t="s">
        <v>125</v>
      </c>
      <c r="J24" s="5" t="str">
        <f>HYPERLINK("https://www.google.com/maps/search/?api=1&amp;query=" &amp; tab_alap[[#This Row],[Y]] &amp; "," &amp; tab_alap[[#This Row],[X]], "Megnyitás")</f>
        <v>Megnyitás</v>
      </c>
      <c r="K24" s="15" t="b">
        <v>0</v>
      </c>
      <c r="L24" t="s">
        <v>63</v>
      </c>
      <c r="M24" t="str">
        <f>LEFT(tab_alap[[#This Row],[állapot]],1) &amp; tab_alap[[#This Row],[Térképjelölés]]</f>
        <v>r7</v>
      </c>
      <c r="N24" s="14" t="str">
        <f>_xlfn.XLOOKUP(tab_alap[[#This Row],[azonosito]], Koordinatak[azonosito_1], Koordinatak[X_1], "-")</f>
        <v>25.7876437</v>
      </c>
      <c r="O24" t="str">
        <f>_xlfn.XLOOKUP(tab_alap[[#This Row],[azonosito]], Koordinatak[azonosito_1], Koordinatak[Y_1], "-")</f>
        <v>45.8677598</v>
      </c>
      <c r="Q24" s="13" t="s">
        <v>126</v>
      </c>
      <c r="R24" s="13" t="s">
        <v>127</v>
      </c>
      <c r="S24" s="13" t="s">
        <v>128</v>
      </c>
    </row>
    <row r="25" spans="1:19">
      <c r="A25">
        <v>24</v>
      </c>
      <c r="B25" s="1" t="s">
        <v>129</v>
      </c>
      <c r="C25" s="5" t="str">
        <f>HYPERLINK(tab_alap[[#This Row],[Link]], "Megnyitás ↗")</f>
        <v>Megnyitás ↗</v>
      </c>
      <c r="D25">
        <v>8</v>
      </c>
      <c r="E25">
        <v>97000</v>
      </c>
      <c r="F25">
        <v>72</v>
      </c>
      <c r="G25">
        <f>tab_alap[[#This Row],[Ár]]/tab_alap[[#This Row],[Nm]]</f>
        <v>1347.2222222222222</v>
      </c>
      <c r="H2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5" s="3" t="s">
        <v>130</v>
      </c>
      <c r="J25" s="5" t="str">
        <f>HYPERLINK("https://www.google.com/maps/search/?api=1&amp;query=" &amp; tab_alap[[#This Row],[Y]] &amp; "," &amp; tab_alap[[#This Row],[X]], "Megnyitás")</f>
        <v>Megnyitás</v>
      </c>
      <c r="K25" s="15" t="b">
        <v>0</v>
      </c>
      <c r="L25" t="s">
        <v>63</v>
      </c>
      <c r="M25" t="str">
        <f>LEFT(tab_alap[[#This Row],[állapot]],1) &amp; tab_alap[[#This Row],[Térképjelölés]]</f>
        <v>r8</v>
      </c>
      <c r="N25" s="14" t="str">
        <f>_xlfn.XLOOKUP(tab_alap[[#This Row],[azonosito]], Koordinatak[azonosito_1], Koordinatak[X_1], "-")</f>
        <v>25.7893555</v>
      </c>
      <c r="O25" t="str">
        <f>_xlfn.XLOOKUP(tab_alap[[#This Row],[azonosito]], Koordinatak[azonosito_1], Koordinatak[Y_1], "-")</f>
        <v>45.859416</v>
      </c>
      <c r="Q25" s="13" t="s">
        <v>131</v>
      </c>
      <c r="R25" s="13" t="s">
        <v>132</v>
      </c>
      <c r="S25" s="13" t="s">
        <v>133</v>
      </c>
    </row>
    <row r="26" spans="1:19">
      <c r="A26">
        <v>25</v>
      </c>
      <c r="B26" s="1" t="s">
        <v>134</v>
      </c>
      <c r="C26" s="5" t="str">
        <f>HYPERLINK(tab_alap[[#This Row],[Link]], "Megnyitás ↗")</f>
        <v>Megnyitás ↗</v>
      </c>
      <c r="D26">
        <v>9</v>
      </c>
      <c r="E26">
        <v>96000</v>
      </c>
      <c r="F26">
        <v>66</v>
      </c>
      <c r="G26">
        <f>tab_alap[[#This Row],[Ár]]/tab_alap[[#This Row],[Nm]]</f>
        <v>1454.5454545454545</v>
      </c>
      <c r="H2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6" s="3" t="s">
        <v>76</v>
      </c>
      <c r="J26" s="5" t="str">
        <f>HYPERLINK("https://www.google.com/maps/search/?api=1&amp;query=" &amp; tab_alap[[#This Row],[Y]] &amp; "," &amp; tab_alap[[#This Row],[X]], "Megnyitás")</f>
        <v>Megnyitás</v>
      </c>
      <c r="K26" s="15" t="b">
        <v>0</v>
      </c>
      <c r="L26" t="s">
        <v>63</v>
      </c>
      <c r="M26" t="str">
        <f>LEFT(tab_alap[[#This Row],[állapot]],1) &amp; tab_alap[[#This Row],[Térképjelölés]]</f>
        <v>r9</v>
      </c>
      <c r="N26" s="14" t="str">
        <f>_xlfn.XLOOKUP(tab_alap[[#This Row],[azonosito]], Koordinatak[azonosito_1], Koordinatak[X_1], "-")</f>
        <v>25.8001272</v>
      </c>
      <c r="O26" t="str">
        <f>_xlfn.XLOOKUP(tab_alap[[#This Row],[azonosito]], Koordinatak[azonosito_1], Koordinatak[Y_1], "-")</f>
        <v>45.862569</v>
      </c>
      <c r="Q26" s="13" t="s">
        <v>135</v>
      </c>
      <c r="R26" s="13" t="s">
        <v>136</v>
      </c>
      <c r="S26" s="13" t="s">
        <v>137</v>
      </c>
    </row>
    <row r="27" spans="1:19">
      <c r="A27">
        <v>26</v>
      </c>
      <c r="B27" s="1" t="s">
        <v>138</v>
      </c>
      <c r="C27" s="5" t="str">
        <f>HYPERLINK(tab_alap[[#This Row],[Link]], "Megnyitás ↗")</f>
        <v>Megnyitás ↗</v>
      </c>
      <c r="D27">
        <v>11</v>
      </c>
      <c r="E27">
        <v>96000</v>
      </c>
      <c r="F27">
        <v>57</v>
      </c>
      <c r="G27">
        <f>tab_alap[[#This Row],[Ár]]/tab_alap[[#This Row],[Nm]]</f>
        <v>1684.2105263157894</v>
      </c>
      <c r="H2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7" s="3" t="s">
        <v>28</v>
      </c>
      <c r="J27" s="5" t="str">
        <f>HYPERLINK("https://www.google.com/maps/search/?api=1&amp;query=" &amp; tab_alap[[#This Row],[Y]] &amp; "," &amp; tab_alap[[#This Row],[X]], "Megnyitás")</f>
        <v>Megnyitás</v>
      </c>
      <c r="K27" s="15" t="b">
        <v>0</v>
      </c>
      <c r="L27" t="s">
        <v>29</v>
      </c>
      <c r="M27" t="str">
        <f>LEFT(tab_alap[[#This Row],[állapot]],1) &amp; tab_alap[[#This Row],[Térképjelölés]]</f>
        <v>j11</v>
      </c>
      <c r="N27" s="14" t="str">
        <f>_xlfn.XLOOKUP(tab_alap[[#This Row],[azonosito]], Koordinatak[azonosito_1], Koordinatak[X_1], "-")</f>
        <v>25.7814103</v>
      </c>
      <c r="O27" t="str">
        <f>_xlfn.XLOOKUP(tab_alap[[#This Row],[azonosito]], Koordinatak[azonosito_1], Koordinatak[Y_1], "-")</f>
        <v>45.8597747</v>
      </c>
      <c r="Q27" s="13" t="s">
        <v>139</v>
      </c>
      <c r="R27" s="13" t="s">
        <v>140</v>
      </c>
      <c r="S27" s="13" t="s">
        <v>141</v>
      </c>
    </row>
    <row r="28" spans="1:19">
      <c r="A28">
        <v>27</v>
      </c>
      <c r="B28" s="1" t="s">
        <v>142</v>
      </c>
      <c r="C28" s="5" t="str">
        <f>HYPERLINK(tab_alap[[#This Row],[Link]], "Megnyitás ↗")</f>
        <v>Megnyitás ↗</v>
      </c>
      <c r="D28">
        <v>5</v>
      </c>
      <c r="E28">
        <v>95000</v>
      </c>
      <c r="F28">
        <v>78</v>
      </c>
      <c r="G28">
        <f>tab_alap[[#This Row],[Ár]]/tab_alap[[#This Row],[Nm]]</f>
        <v>1217.948717948718</v>
      </c>
      <c r="H2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28" s="3" t="s">
        <v>143</v>
      </c>
      <c r="J28" s="5" t="str">
        <f>HYPERLINK("https://www.google.com/maps/search/?api=1&amp;query=" &amp; tab_alap[[#This Row],[Y]] &amp; "," &amp; tab_alap[[#This Row],[X]], "Megnyitás")</f>
        <v>Megnyitás</v>
      </c>
      <c r="K28" s="15" t="b">
        <v>0</v>
      </c>
      <c r="L28" t="s">
        <v>21</v>
      </c>
      <c r="M28" t="str">
        <f>LEFT(tab_alap[[#This Row],[állapot]],1) &amp; tab_alap[[#This Row],[Térképjelölés]]</f>
        <v>f5</v>
      </c>
      <c r="N28" s="14" t="str">
        <f>_xlfn.XLOOKUP(tab_alap[[#This Row],[azonosito]], Koordinatak[azonosito_1], Koordinatak[X_1], "-")</f>
        <v>25.7964697</v>
      </c>
      <c r="O28" t="str">
        <f>_xlfn.XLOOKUP(tab_alap[[#This Row],[azonosito]], Koordinatak[azonosito_1], Koordinatak[Y_1], "-")</f>
        <v>45.863888</v>
      </c>
      <c r="Q28" s="13" t="s">
        <v>144</v>
      </c>
      <c r="R28" s="13" t="s">
        <v>145</v>
      </c>
      <c r="S28" s="13" t="s">
        <v>146</v>
      </c>
    </row>
    <row r="29" spans="1:19">
      <c r="A29">
        <v>28</v>
      </c>
      <c r="B29" s="1" t="s">
        <v>147</v>
      </c>
      <c r="C29" s="5" t="str">
        <f>HYPERLINK(tab_alap[[#This Row],[Link]], "Megnyitás ↗")</f>
        <v>Megnyitás ↗</v>
      </c>
      <c r="D29">
        <v>6</v>
      </c>
      <c r="E29">
        <v>95000</v>
      </c>
      <c r="F29">
        <v>67</v>
      </c>
      <c r="G29">
        <f>tab_alap[[#This Row],[Ár]]/tab_alap[[#This Row],[Nm]]</f>
        <v>1417.9104477611941</v>
      </c>
      <c r="H2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29" s="3" t="s">
        <v>148</v>
      </c>
      <c r="J29" s="5" t="str">
        <f>HYPERLINK("https://www.google.com/maps/search/?api=1&amp;query=" &amp; tab_alap[[#This Row],[Y]] &amp; "," &amp; tab_alap[[#This Row],[X]], "Megnyitás")</f>
        <v>Megnyitás</v>
      </c>
      <c r="K29" s="15" t="b">
        <v>0</v>
      </c>
      <c r="L29" t="s">
        <v>21</v>
      </c>
      <c r="M29" t="str">
        <f>LEFT(tab_alap[[#This Row],[állapot]],1) &amp; tab_alap[[#This Row],[Térképjelölés]]</f>
        <v>f6</v>
      </c>
      <c r="N29" s="14" t="str">
        <f>_xlfn.XLOOKUP(tab_alap[[#This Row],[azonosito]], Koordinatak[azonosito_1], Koordinatak[X_1], "-")</f>
        <v>25.7790007</v>
      </c>
      <c r="O29" t="str">
        <f>_xlfn.XLOOKUP(tab_alap[[#This Row],[azonosito]], Koordinatak[azonosito_1], Koordinatak[Y_1], "-")</f>
        <v>45.8629576</v>
      </c>
      <c r="Q29" s="13" t="s">
        <v>149</v>
      </c>
      <c r="R29" s="13" t="s">
        <v>150</v>
      </c>
      <c r="S29" s="13" t="s">
        <v>151</v>
      </c>
    </row>
    <row r="30" spans="1:19">
      <c r="A30">
        <v>29</v>
      </c>
      <c r="B30" s="1" t="s">
        <v>152</v>
      </c>
      <c r="C30" s="5" t="str">
        <f>HYPERLINK(tab_alap[[#This Row],[Link]], "Megnyitás ↗")</f>
        <v>Megnyitás ↗</v>
      </c>
      <c r="D30">
        <v>12</v>
      </c>
      <c r="E30">
        <v>95000</v>
      </c>
      <c r="F30">
        <v>54</v>
      </c>
      <c r="G30">
        <f>tab_alap[[#This Row],[Ár]]/tab_alap[[#This Row],[Nm]]</f>
        <v>1759.2592592592594</v>
      </c>
      <c r="H3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30" s="3" t="s">
        <v>130</v>
      </c>
      <c r="J30" s="5" t="str">
        <f>HYPERLINK("https://www.google.com/maps/search/?api=1&amp;query=" &amp; tab_alap[[#This Row],[Y]] &amp; "," &amp; tab_alap[[#This Row],[X]], "Megnyitás")</f>
        <v>Megnyitás</v>
      </c>
      <c r="K30" s="15" t="b">
        <v>0</v>
      </c>
      <c r="L30" t="s">
        <v>29</v>
      </c>
      <c r="M30" t="str">
        <f>LEFT(tab_alap[[#This Row],[állapot]],1) &amp; tab_alap[[#This Row],[Térképjelölés]]</f>
        <v>j12</v>
      </c>
      <c r="N30" s="14" t="str">
        <f>_xlfn.XLOOKUP(tab_alap[[#This Row],[azonosito]], Koordinatak[azonosito_1], Koordinatak[X_1], "-")</f>
        <v>25.7891454</v>
      </c>
      <c r="O30" t="str">
        <f>_xlfn.XLOOKUP(tab_alap[[#This Row],[azonosito]], Koordinatak[azonosito_1], Koordinatak[Y_1], "-")</f>
        <v>45.8640664</v>
      </c>
      <c r="Q30" s="13" t="s">
        <v>153</v>
      </c>
      <c r="R30" s="13" t="s">
        <v>154</v>
      </c>
      <c r="S30" s="13" t="s">
        <v>155</v>
      </c>
    </row>
    <row r="31" spans="1:19">
      <c r="A31">
        <v>30</v>
      </c>
      <c r="B31" s="1" t="s">
        <v>156</v>
      </c>
      <c r="C31" s="5" t="str">
        <f>HYPERLINK(tab_alap[[#This Row],[Link]], "Megnyitás ↗")</f>
        <v>Megnyitás ↗</v>
      </c>
      <c r="D31">
        <v>10</v>
      </c>
      <c r="E31">
        <v>95000</v>
      </c>
      <c r="F31">
        <v>57</v>
      </c>
      <c r="G31">
        <f>tab_alap[[#This Row],[Ár]]/tab_alap[[#This Row],[Nm]]</f>
        <v>1666.6666666666667</v>
      </c>
      <c r="H3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31" s="3" t="s">
        <v>28</v>
      </c>
      <c r="J31" s="5" t="str">
        <f>HYPERLINK("https://www.google.com/maps/search/?api=1&amp;query=" &amp; tab_alap[[#This Row],[Y]] &amp; "," &amp; tab_alap[[#This Row],[X]], "Megnyitás")</f>
        <v>Megnyitás</v>
      </c>
      <c r="K31" s="15" t="b">
        <v>0</v>
      </c>
      <c r="L31" t="s">
        <v>63</v>
      </c>
      <c r="M31" t="str">
        <f>LEFT(tab_alap[[#This Row],[állapot]],1) &amp; tab_alap[[#This Row],[Térképjelölés]]</f>
        <v>r10</v>
      </c>
      <c r="N31" s="14" t="str">
        <f>_xlfn.XLOOKUP(tab_alap[[#This Row],[azonosito]], Koordinatak[azonosito_1], Koordinatak[X_1], "-")</f>
        <v>25.7926799</v>
      </c>
      <c r="O31" t="str">
        <f>_xlfn.XLOOKUP(tab_alap[[#This Row],[azonosito]], Koordinatak[azonosito_1], Koordinatak[Y_1], "-")</f>
        <v>45.8585353</v>
      </c>
      <c r="Q31" s="13" t="s">
        <v>157</v>
      </c>
      <c r="R31" s="13" t="s">
        <v>158</v>
      </c>
      <c r="S31" s="13" t="s">
        <v>159</v>
      </c>
    </row>
    <row r="32" spans="1:19">
      <c r="A32">
        <v>31</v>
      </c>
      <c r="B32" s="1" t="s">
        <v>160</v>
      </c>
      <c r="C32" s="5" t="str">
        <f>HYPERLINK(tab_alap[[#This Row],[Link]], "Megnyitás ↗")</f>
        <v>Megnyitás ↗</v>
      </c>
      <c r="D32">
        <v>7</v>
      </c>
      <c r="E32">
        <v>95000</v>
      </c>
      <c r="F32">
        <v>77.5</v>
      </c>
      <c r="G32">
        <f>tab_alap[[#This Row],[Ár]]/tab_alap[[#This Row],[Nm]]</f>
        <v>1225.8064516129032</v>
      </c>
      <c r="H3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32" s="3" t="s">
        <v>161</v>
      </c>
      <c r="J32" s="5" t="str">
        <f>HYPERLINK("https://www.google.com/maps/search/?api=1&amp;query=" &amp; tab_alap[[#This Row],[Y]] &amp; "," &amp; tab_alap[[#This Row],[X]], "Megnyitás")</f>
        <v>Megnyitás</v>
      </c>
      <c r="K32" s="15" t="b">
        <v>0</v>
      </c>
      <c r="L32" t="s">
        <v>21</v>
      </c>
      <c r="M32" t="str">
        <f>LEFT(tab_alap[[#This Row],[állapot]],1) &amp; tab_alap[[#This Row],[Térképjelölés]]</f>
        <v>f7</v>
      </c>
      <c r="N32" s="14" t="str">
        <f>_xlfn.XLOOKUP(tab_alap[[#This Row],[azonosito]], Koordinatak[azonosito_1], Koordinatak[X_1], "-")</f>
        <v>25.8015964</v>
      </c>
      <c r="O32" t="str">
        <f>_xlfn.XLOOKUP(tab_alap[[#This Row],[azonosito]], Koordinatak[azonosito_1], Koordinatak[Y_1], "-")</f>
        <v>45.8638707</v>
      </c>
      <c r="Q32" s="13" t="s">
        <v>162</v>
      </c>
      <c r="R32" s="13" t="s">
        <v>163</v>
      </c>
      <c r="S32" s="13" t="s">
        <v>164</v>
      </c>
    </row>
    <row r="33" spans="1:19">
      <c r="A33">
        <v>32</v>
      </c>
      <c r="B33" s="1" t="s">
        <v>165</v>
      </c>
      <c r="C33" s="5" t="str">
        <f>HYPERLINK(tab_alap[[#This Row],[Link]], "Megnyitás ↗")</f>
        <v>Megnyitás ↗</v>
      </c>
      <c r="D33">
        <v>13</v>
      </c>
      <c r="E33">
        <v>94800</v>
      </c>
      <c r="F33">
        <v>60</v>
      </c>
      <c r="G33">
        <f>tab_alap[[#This Row],[Ár]]/tab_alap[[#This Row],[Nm]]</f>
        <v>1580</v>
      </c>
      <c r="H3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33" s="3" t="s">
        <v>166</v>
      </c>
      <c r="J33" s="5" t="str">
        <f>HYPERLINK("https://www.google.com/maps/search/?api=1&amp;query=" &amp; tab_alap[[#This Row],[Y]] &amp; "," &amp; tab_alap[[#This Row],[X]], "Megnyitás")</f>
        <v>Megnyitás</v>
      </c>
      <c r="K33" s="15" t="b">
        <v>0</v>
      </c>
      <c r="L33" t="s">
        <v>111</v>
      </c>
      <c r="M33" t="str">
        <f>LEFT(tab_alap[[#This Row],[állapot]],1) &amp; tab_alap[[#This Row],[Térképjelölés]]</f>
        <v>j13</v>
      </c>
      <c r="N33" s="14" t="str">
        <f>_xlfn.XLOOKUP(tab_alap[[#This Row],[azonosito]], Koordinatak[azonosito_1], Koordinatak[X_1], "-")</f>
        <v>25.7944767</v>
      </c>
      <c r="O33" t="str">
        <f>_xlfn.XLOOKUP(tab_alap[[#This Row],[azonosito]], Koordinatak[azonosito_1], Koordinatak[Y_1], "-")</f>
        <v>45.8638174</v>
      </c>
      <c r="Q33" s="13" t="s">
        <v>167</v>
      </c>
      <c r="R33" s="13" t="s">
        <v>168</v>
      </c>
      <c r="S33" s="13" t="s">
        <v>169</v>
      </c>
    </row>
    <row r="34" spans="1:19">
      <c r="A34">
        <v>33</v>
      </c>
      <c r="B34" s="1" t="s">
        <v>170</v>
      </c>
      <c r="C34" s="5" t="str">
        <f>HYPERLINK(tab_alap[[#This Row],[Link]], "Megnyitás ↗")</f>
        <v>Megnyitás ↗</v>
      </c>
      <c r="D34">
        <v>11</v>
      </c>
      <c r="E34">
        <v>93800</v>
      </c>
      <c r="F34">
        <v>66</v>
      </c>
      <c r="G34">
        <f>tab_alap[[#This Row],[Ár]]/tab_alap[[#This Row],[Nm]]</f>
        <v>1421.2121212121212</v>
      </c>
      <c r="H3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34" s="3" t="s">
        <v>166</v>
      </c>
      <c r="J34" s="5" t="str">
        <f>HYPERLINK("https://www.google.com/maps/search/?api=1&amp;query=" &amp; tab_alap[[#This Row],[Y]] &amp; "," &amp; tab_alap[[#This Row],[X]], "Megnyitás")</f>
        <v>Megnyitás</v>
      </c>
      <c r="K34" s="15" t="b">
        <v>0</v>
      </c>
      <c r="L34" t="s">
        <v>63</v>
      </c>
      <c r="M34" t="str">
        <f>LEFT(tab_alap[[#This Row],[állapot]],1) &amp; tab_alap[[#This Row],[Térképjelölés]]</f>
        <v>r11</v>
      </c>
      <c r="N34" s="14" t="str">
        <f>_xlfn.XLOOKUP(tab_alap[[#This Row],[azonosito]], Koordinatak[azonosito_1], Koordinatak[X_1], "-")</f>
        <v>25.7953736</v>
      </c>
      <c r="O34" t="str">
        <f>_xlfn.XLOOKUP(tab_alap[[#This Row],[azonosito]], Koordinatak[azonosito_1], Koordinatak[Y_1], "-")</f>
        <v>45.8678363</v>
      </c>
      <c r="Q34" s="13" t="s">
        <v>171</v>
      </c>
      <c r="R34" s="13" t="s">
        <v>172</v>
      </c>
      <c r="S34" s="13" t="s">
        <v>173</v>
      </c>
    </row>
    <row r="35" spans="1:19">
      <c r="A35">
        <v>34</v>
      </c>
      <c r="B35" s="1" t="s">
        <v>174</v>
      </c>
      <c r="C35" s="5" t="str">
        <f>HYPERLINK(tab_alap[[#This Row],[Link]], "Megnyitás ↗")</f>
        <v>Megnyitás ↗</v>
      </c>
      <c r="D35">
        <v>14</v>
      </c>
      <c r="E35">
        <v>90000</v>
      </c>
      <c r="F35">
        <v>58</v>
      </c>
      <c r="G35">
        <f>tab_alap[[#This Row],[Ár]]/tab_alap[[#This Row],[Nm]]</f>
        <v>1551.7241379310344</v>
      </c>
      <c r="H3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35" s="3" t="s">
        <v>28</v>
      </c>
      <c r="J35" s="5" t="str">
        <f>HYPERLINK("https://www.google.com/maps/search/?api=1&amp;query=" &amp; tab_alap[[#This Row],[Y]] &amp; "," &amp; tab_alap[[#This Row],[X]], "Megnyitás")</f>
        <v>Megnyitás</v>
      </c>
      <c r="K35" s="15" t="b">
        <v>0</v>
      </c>
      <c r="L35" t="s">
        <v>29</v>
      </c>
      <c r="M35" t="str">
        <f>LEFT(tab_alap[[#This Row],[állapot]],1) &amp; tab_alap[[#This Row],[Térképjelölés]]</f>
        <v>j14</v>
      </c>
      <c r="N35" s="14" t="str">
        <f>_xlfn.XLOOKUP(tab_alap[[#This Row],[azonosito]], Koordinatak[azonosito_1], Koordinatak[X_1], "-")</f>
        <v>25.7987802</v>
      </c>
      <c r="O35" t="str">
        <f>_xlfn.XLOOKUP(tab_alap[[#This Row],[azonosito]], Koordinatak[azonosito_1], Koordinatak[Y_1], "-")</f>
        <v>45.8625618</v>
      </c>
      <c r="Q35" s="13" t="s">
        <v>175</v>
      </c>
      <c r="R35" s="13" t="s">
        <v>176</v>
      </c>
      <c r="S35" s="13" t="s">
        <v>177</v>
      </c>
    </row>
    <row r="36" spans="1:19">
      <c r="A36">
        <v>35</v>
      </c>
      <c r="B36" s="1" t="s">
        <v>178</v>
      </c>
      <c r="C36" s="5" t="str">
        <f>HYPERLINK(tab_alap[[#This Row],[Link]], "Megnyitás ↗")</f>
        <v>Megnyitás ↗</v>
      </c>
      <c r="D36">
        <v>12</v>
      </c>
      <c r="E36">
        <v>89500</v>
      </c>
      <c r="F36">
        <v>73</v>
      </c>
      <c r="G36">
        <f>tab_alap[[#This Row],[Ár]]/tab_alap[[#This Row],[Nm]]</f>
        <v>1226.027397260274</v>
      </c>
      <c r="H3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36" s="3" t="s">
        <v>179</v>
      </c>
      <c r="J36" s="5" t="str">
        <f>HYPERLINK("https://www.google.com/maps/search/?api=1&amp;query=" &amp; tab_alap[[#This Row],[Y]] &amp; "," &amp; tab_alap[[#This Row],[X]], "Megnyitás")</f>
        <v>Megnyitás</v>
      </c>
      <c r="K36" s="15" t="b">
        <v>0</v>
      </c>
      <c r="L36" t="s">
        <v>63</v>
      </c>
      <c r="M36" t="str">
        <f>LEFT(tab_alap[[#This Row],[állapot]],1) &amp; tab_alap[[#This Row],[Térképjelölés]]</f>
        <v>r12</v>
      </c>
      <c r="N36" s="14" t="str">
        <f>_xlfn.XLOOKUP(tab_alap[[#This Row],[azonosito]], Koordinatak[azonosito_1], Koordinatak[X_1], "-")</f>
        <v>25.8073045</v>
      </c>
      <c r="O36" t="str">
        <f>_xlfn.XLOOKUP(tab_alap[[#This Row],[azonosito]], Koordinatak[azonosito_1], Koordinatak[Y_1], "-")</f>
        <v>45.8640038</v>
      </c>
      <c r="Q36" s="13" t="s">
        <v>180</v>
      </c>
      <c r="R36" s="13" t="s">
        <v>181</v>
      </c>
      <c r="S36" s="13" t="s">
        <v>182</v>
      </c>
    </row>
    <row r="37" spans="1:19">
      <c r="A37">
        <v>36</v>
      </c>
      <c r="B37" s="1" t="s">
        <v>183</v>
      </c>
      <c r="C37" s="5" t="str">
        <f>HYPERLINK(tab_alap[[#This Row],[Link]], "Megnyitás ↗")</f>
        <v>Megnyitás ↗</v>
      </c>
      <c r="D37">
        <v>8</v>
      </c>
      <c r="E37">
        <v>89500</v>
      </c>
      <c r="F37">
        <v>72</v>
      </c>
      <c r="G37">
        <f>tab_alap[[#This Row],[Ár]]/tab_alap[[#This Row],[Nm]]</f>
        <v>1243.0555555555557</v>
      </c>
      <c r="H3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37" s="3" t="s">
        <v>179</v>
      </c>
      <c r="J37" s="5" t="str">
        <f>HYPERLINK("https://www.google.com/maps/search/?api=1&amp;query=" &amp; tab_alap[[#This Row],[Y]] &amp; "," &amp; tab_alap[[#This Row],[X]], "Megnyitás")</f>
        <v>Megnyitás</v>
      </c>
      <c r="K37" s="15" t="b">
        <v>0</v>
      </c>
      <c r="L37" t="s">
        <v>21</v>
      </c>
      <c r="M37" t="str">
        <f>LEFT(tab_alap[[#This Row],[állapot]],1) &amp; tab_alap[[#This Row],[Térképjelölés]]</f>
        <v>f8</v>
      </c>
      <c r="N37" s="14" t="str">
        <f>_xlfn.XLOOKUP(tab_alap[[#This Row],[azonosito]], Koordinatak[azonosito_1], Koordinatak[X_1], "-")</f>
        <v>25.8081943</v>
      </c>
      <c r="O37" t="str">
        <f>_xlfn.XLOOKUP(tab_alap[[#This Row],[azonosito]], Koordinatak[azonosito_1], Koordinatak[Y_1], "-")</f>
        <v>45.8635556</v>
      </c>
      <c r="Q37" s="13" t="s">
        <v>184</v>
      </c>
      <c r="R37" s="13" t="s">
        <v>185</v>
      </c>
      <c r="S37" s="13" t="s">
        <v>186</v>
      </c>
    </row>
    <row r="38" spans="1:19">
      <c r="A38">
        <v>37</v>
      </c>
      <c r="B38" s="1" t="s">
        <v>187</v>
      </c>
      <c r="C38" s="5" t="str">
        <f>HYPERLINK(tab_alap[[#This Row],[Link]], "Megnyitás ↗")</f>
        <v>Megnyitás ↗</v>
      </c>
      <c r="D38">
        <v>13</v>
      </c>
      <c r="E38">
        <v>88000</v>
      </c>
      <c r="F38">
        <v>68</v>
      </c>
      <c r="G38">
        <f>tab_alap[[#This Row],[Ár]]/tab_alap[[#This Row],[Nm]]</f>
        <v>1294.1176470588234</v>
      </c>
      <c r="H3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38" s="3" t="s">
        <v>130</v>
      </c>
      <c r="J38" s="5" t="str">
        <f>HYPERLINK("https://www.google.com/maps/search/?api=1&amp;query=" &amp; tab_alap[[#This Row],[Y]] &amp; "," &amp; tab_alap[[#This Row],[X]], "Megnyitás")</f>
        <v>Megnyitás</v>
      </c>
      <c r="K38" s="15" t="b">
        <v>0</v>
      </c>
      <c r="L38" t="s">
        <v>63</v>
      </c>
      <c r="M38" t="str">
        <f>LEFT(tab_alap[[#This Row],[állapot]],1) &amp; tab_alap[[#This Row],[Térképjelölés]]</f>
        <v>r13</v>
      </c>
      <c r="N38" s="14" t="str">
        <f>_xlfn.XLOOKUP(tab_alap[[#This Row],[azonosito]], Koordinatak[azonosito_1], Koordinatak[X_1], "-")</f>
        <v>25.7946774</v>
      </c>
      <c r="O38" t="str">
        <f>_xlfn.XLOOKUP(tab_alap[[#This Row],[azonosito]], Koordinatak[azonosito_1], Koordinatak[Y_1], "-")</f>
        <v>45.8675959</v>
      </c>
      <c r="Q38" s="13" t="s">
        <v>188</v>
      </c>
      <c r="R38" s="13" t="s">
        <v>189</v>
      </c>
      <c r="S38" s="13" t="s">
        <v>190</v>
      </c>
    </row>
    <row r="39" spans="1:19">
      <c r="A39">
        <v>38</v>
      </c>
      <c r="B39" s="1" t="s">
        <v>191</v>
      </c>
      <c r="C39" s="5" t="str">
        <f>HYPERLINK(tab_alap[[#This Row],[Link]], "Megnyitás ↗")</f>
        <v>Megnyitás ↗</v>
      </c>
      <c r="D39">
        <v>14</v>
      </c>
      <c r="E39">
        <v>87000</v>
      </c>
      <c r="F39">
        <v>49</v>
      </c>
      <c r="G39">
        <f>tab_alap[[#This Row],[Ár]]/tab_alap[[#This Row],[Nm]]</f>
        <v>1775.5102040816328</v>
      </c>
      <c r="H3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39" s="3" t="s">
        <v>192</v>
      </c>
      <c r="J39" s="5" t="str">
        <f>HYPERLINK("https://www.google.com/maps/search/?api=1&amp;query=" &amp; tab_alap[[#This Row],[Y]] &amp; "," &amp; tab_alap[[#This Row],[X]], "Megnyitás")</f>
        <v>Megnyitás</v>
      </c>
      <c r="K39" s="15" t="b">
        <v>0</v>
      </c>
      <c r="L39" t="s">
        <v>63</v>
      </c>
      <c r="M39" t="str">
        <f>LEFT(tab_alap[[#This Row],[állapot]],1) &amp; tab_alap[[#This Row],[Térképjelölés]]</f>
        <v>r14</v>
      </c>
      <c r="N39" s="14" t="str">
        <f>_xlfn.XLOOKUP(tab_alap[[#This Row],[azonosito]], Koordinatak[azonosito_1], Koordinatak[X_1], "-")</f>
        <v>25.790436</v>
      </c>
      <c r="O39" t="str">
        <f>_xlfn.XLOOKUP(tab_alap[[#This Row],[azonosito]], Koordinatak[azonosito_1], Koordinatak[Y_1], "-")</f>
        <v>45.8631123</v>
      </c>
      <c r="Q39" s="13" t="s">
        <v>193</v>
      </c>
      <c r="R39" s="13" t="s">
        <v>194</v>
      </c>
      <c r="S39" s="13" t="s">
        <v>195</v>
      </c>
    </row>
    <row r="40" spans="1:19">
      <c r="A40">
        <v>39</v>
      </c>
      <c r="B40" s="1" t="s">
        <v>196</v>
      </c>
      <c r="C40" s="5" t="str">
        <f>HYPERLINK(tab_alap[[#This Row],[Link]], "Megnyitás ↗")</f>
        <v>Megnyitás ↗</v>
      </c>
      <c r="D40">
        <v>9</v>
      </c>
      <c r="E40">
        <v>86000</v>
      </c>
      <c r="F40">
        <v>65</v>
      </c>
      <c r="G40">
        <f>tab_alap[[#This Row],[Ár]]/tab_alap[[#This Row],[Nm]]</f>
        <v>1323.0769230769231</v>
      </c>
      <c r="H4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0" s="3" t="s">
        <v>20</v>
      </c>
      <c r="J40" s="5" t="str">
        <f>HYPERLINK("https://www.google.com/maps/search/?api=1&amp;query=" &amp; tab_alap[[#This Row],[Y]] &amp; "," &amp; tab_alap[[#This Row],[X]], "Megnyitás")</f>
        <v>Megnyitás</v>
      </c>
      <c r="K40" s="15" t="b">
        <v>0</v>
      </c>
      <c r="L40" t="s">
        <v>21</v>
      </c>
      <c r="M40" t="str">
        <f>LEFT(tab_alap[[#This Row],[állapot]],1) &amp; tab_alap[[#This Row],[Térképjelölés]]</f>
        <v>f9</v>
      </c>
      <c r="N40" s="14" t="str">
        <f>_xlfn.XLOOKUP(tab_alap[[#This Row],[azonosito]], Koordinatak[azonosito_1], Koordinatak[X_1], "-")</f>
        <v>25.7947869</v>
      </c>
      <c r="O40" t="str">
        <f>_xlfn.XLOOKUP(tab_alap[[#This Row],[azonosito]], Koordinatak[azonosito_1], Koordinatak[Y_1], "-")</f>
        <v>45.8565312</v>
      </c>
      <c r="Q40" s="13" t="s">
        <v>197</v>
      </c>
      <c r="R40" s="13" t="s">
        <v>198</v>
      </c>
      <c r="S40" s="13" t="s">
        <v>199</v>
      </c>
    </row>
    <row r="41" spans="1:19">
      <c r="A41">
        <v>40</v>
      </c>
      <c r="B41" s="1" t="s">
        <v>200</v>
      </c>
      <c r="C41" s="5" t="str">
        <f>HYPERLINK(tab_alap[[#This Row],[Link]], "Megnyitás ↗")</f>
        <v>Megnyitás ↗</v>
      </c>
      <c r="D41">
        <v>14</v>
      </c>
      <c r="E41">
        <v>85500</v>
      </c>
      <c r="F41">
        <v>65</v>
      </c>
      <c r="G41">
        <f>tab_alap[[#This Row],[Ár]]/tab_alap[[#This Row],[Nm]]</f>
        <v>1315.3846153846155</v>
      </c>
      <c r="H4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1" s="3" t="s">
        <v>28</v>
      </c>
      <c r="J41" s="5" t="str">
        <f>HYPERLINK("https://www.google.com/maps/search/?api=1&amp;query=" &amp; tab_alap[[#This Row],[Y]] &amp; "," &amp; tab_alap[[#This Row],[X]], "Megnyitás")</f>
        <v>Megnyitás</v>
      </c>
      <c r="K41" s="15" t="b">
        <v>0</v>
      </c>
      <c r="L41" t="s">
        <v>63</v>
      </c>
      <c r="M41" t="str">
        <f>LEFT(tab_alap[[#This Row],[állapot]],1) &amp; tab_alap[[#This Row],[Térképjelölés]]</f>
        <v>r14</v>
      </c>
      <c r="N41" s="14" t="str">
        <f>_xlfn.XLOOKUP(tab_alap[[#This Row],[azonosito]], Koordinatak[azonosito_1], Koordinatak[X_1], "-")</f>
        <v>25.790436</v>
      </c>
      <c r="O41" t="str">
        <f>_xlfn.XLOOKUP(tab_alap[[#This Row],[azonosito]], Koordinatak[azonosito_1], Koordinatak[Y_1], "-")</f>
        <v>45.8631123</v>
      </c>
      <c r="Q41" s="13" t="s">
        <v>201</v>
      </c>
      <c r="R41" s="13" t="s">
        <v>202</v>
      </c>
      <c r="S41" s="13" t="s">
        <v>203</v>
      </c>
    </row>
    <row r="42" spans="1:19">
      <c r="A42">
        <v>41</v>
      </c>
      <c r="B42" s="1" t="s">
        <v>204</v>
      </c>
      <c r="C42" s="5" t="str">
        <f>HYPERLINK(tab_alap[[#This Row],[Link]], "Megnyitás ↗")</f>
        <v>Megnyitás ↗</v>
      </c>
      <c r="D42">
        <v>10</v>
      </c>
      <c r="E42">
        <v>85000</v>
      </c>
      <c r="F42">
        <v>62</v>
      </c>
      <c r="G42">
        <f>tab_alap[[#This Row],[Ár]]/tab_alap[[#This Row],[Nm]]</f>
        <v>1370.9677419354839</v>
      </c>
      <c r="H4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2" s="3" t="s">
        <v>58</v>
      </c>
      <c r="J42" s="5" t="str">
        <f>HYPERLINK("https://www.google.com/maps/search/?api=1&amp;query=" &amp; tab_alap[[#This Row],[Y]] &amp; "," &amp; tab_alap[[#This Row],[X]], "Megnyitás")</f>
        <v>Megnyitás</v>
      </c>
      <c r="K42" s="15" t="b">
        <v>0</v>
      </c>
      <c r="L42" t="s">
        <v>21</v>
      </c>
      <c r="M42" t="str">
        <f>LEFT(tab_alap[[#This Row],[állapot]],1) &amp; tab_alap[[#This Row],[Térképjelölés]]</f>
        <v>f10</v>
      </c>
      <c r="N42" s="14" t="str">
        <f>_xlfn.XLOOKUP(tab_alap[[#This Row],[azonosito]], Koordinatak[azonosito_1], Koordinatak[X_1], "-")</f>
        <v>25.7799467</v>
      </c>
      <c r="O42" t="str">
        <f>_xlfn.XLOOKUP(tab_alap[[#This Row],[azonosito]], Koordinatak[azonosito_1], Koordinatak[Y_1], "-")</f>
        <v>45.8580619</v>
      </c>
      <c r="Q42" s="13" t="s">
        <v>205</v>
      </c>
      <c r="R42" s="13" t="s">
        <v>206</v>
      </c>
      <c r="S42" s="13" t="s">
        <v>207</v>
      </c>
    </row>
    <row r="43" spans="1:19">
      <c r="A43">
        <v>42</v>
      </c>
      <c r="B43" s="1" t="s">
        <v>208</v>
      </c>
      <c r="C43" s="5" t="str">
        <f>HYPERLINK(tab_alap[[#This Row],[Link]], "Megnyitás ↗")</f>
        <v>Megnyitás ↗</v>
      </c>
      <c r="D43">
        <v>15</v>
      </c>
      <c r="E43">
        <v>85000</v>
      </c>
      <c r="F43">
        <v>50</v>
      </c>
      <c r="G43">
        <f>tab_alap[[#This Row],[Ár]]/tab_alap[[#This Row],[Nm]]</f>
        <v>1700</v>
      </c>
      <c r="H4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43" s="3" t="s">
        <v>20</v>
      </c>
      <c r="J43" s="5" t="str">
        <f>HYPERLINK("https://www.google.com/maps/search/?api=1&amp;query=" &amp; tab_alap[[#This Row],[Y]] &amp; "," &amp; tab_alap[[#This Row],[X]], "Megnyitás")</f>
        <v>Megnyitás</v>
      </c>
      <c r="K43" s="15" t="b">
        <v>0</v>
      </c>
      <c r="L43" t="s">
        <v>29</v>
      </c>
      <c r="M43" t="str">
        <f>LEFT(tab_alap[[#This Row],[állapot]],1) &amp; tab_alap[[#This Row],[Térképjelölés]]</f>
        <v>j15</v>
      </c>
      <c r="N43" s="14" t="str">
        <f>_xlfn.XLOOKUP(tab_alap[[#This Row],[azonosito]], Koordinatak[azonosito_1], Koordinatak[X_1], "-")</f>
        <v>25.7736776</v>
      </c>
      <c r="O43" t="str">
        <f>_xlfn.XLOOKUP(tab_alap[[#This Row],[azonosito]], Koordinatak[azonosito_1], Koordinatak[Y_1], "-")</f>
        <v>45.8591302</v>
      </c>
      <c r="Q43" s="13" t="s">
        <v>209</v>
      </c>
      <c r="R43" s="13" t="s">
        <v>210</v>
      </c>
      <c r="S43" s="13" t="s">
        <v>211</v>
      </c>
    </row>
    <row r="44" spans="1:19">
      <c r="A44">
        <v>43</v>
      </c>
      <c r="B44" s="1" t="s">
        <v>212</v>
      </c>
      <c r="C44" s="5" t="str">
        <f>HYPERLINK(tab_alap[[#This Row],[Link]], "Megnyitás ↗")</f>
        <v>Megnyitás ↗</v>
      </c>
      <c r="D44">
        <v>11</v>
      </c>
      <c r="E44">
        <v>85000</v>
      </c>
      <c r="F44">
        <v>72</v>
      </c>
      <c r="G44">
        <f>tab_alap[[#This Row],[Ár]]/tab_alap[[#This Row],[Nm]]</f>
        <v>1180.5555555555557</v>
      </c>
      <c r="H4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4" s="3" t="s">
        <v>213</v>
      </c>
      <c r="J44" s="5" t="str">
        <f>HYPERLINK("https://www.google.com/maps/search/?api=1&amp;query=" &amp; tab_alap[[#This Row],[Y]] &amp; "," &amp; tab_alap[[#This Row],[X]], "Megnyitás")</f>
        <v>Megnyitás</v>
      </c>
      <c r="K44" s="15" t="b">
        <v>0</v>
      </c>
      <c r="L44" t="s">
        <v>21</v>
      </c>
      <c r="M44" t="str">
        <f>LEFT(tab_alap[[#This Row],[állapot]],1) &amp; tab_alap[[#This Row],[Térképjelölés]]</f>
        <v>f11</v>
      </c>
      <c r="N44" s="14" t="str">
        <f>_xlfn.XLOOKUP(tab_alap[[#This Row],[azonosito]], Koordinatak[azonosito_1], Koordinatak[X_1], "-")</f>
        <v>25.7745144</v>
      </c>
      <c r="O44" t="str">
        <f>_xlfn.XLOOKUP(tab_alap[[#This Row],[azonosito]], Koordinatak[azonosito_1], Koordinatak[Y_1], "-")</f>
        <v>45.8596473</v>
      </c>
      <c r="Q44" s="13" t="s">
        <v>214</v>
      </c>
      <c r="R44" s="13" t="s">
        <v>215</v>
      </c>
      <c r="S44" s="13" t="s">
        <v>216</v>
      </c>
    </row>
    <row r="45" spans="1:19">
      <c r="A45">
        <v>44</v>
      </c>
      <c r="B45" s="1" t="s">
        <v>217</v>
      </c>
      <c r="C45" s="5" t="str">
        <f>HYPERLINK(tab_alap[[#This Row],[Link]], "Megnyitás ↗")</f>
        <v>Megnyitás ↗</v>
      </c>
      <c r="D45">
        <v>16</v>
      </c>
      <c r="E45">
        <v>85000</v>
      </c>
      <c r="F45">
        <v>51</v>
      </c>
      <c r="G45">
        <f>tab_alap[[#This Row],[Ár]]/tab_alap[[#This Row],[Nm]]</f>
        <v>1666.6666666666667</v>
      </c>
      <c r="H4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45" s="3" t="s">
        <v>218</v>
      </c>
      <c r="J45" s="5" t="str">
        <f>HYPERLINK("https://www.google.com/maps/search/?api=1&amp;query=" &amp; tab_alap[[#This Row],[Y]] &amp; "," &amp; tab_alap[[#This Row],[X]], "Megnyitás")</f>
        <v>Megnyitás</v>
      </c>
      <c r="K45" s="15" t="b">
        <v>0</v>
      </c>
      <c r="L45" t="s">
        <v>63</v>
      </c>
      <c r="M45" t="str">
        <f>LEFT(tab_alap[[#This Row],[állapot]],1) &amp; tab_alap[[#This Row],[Térképjelölés]]</f>
        <v>r16</v>
      </c>
      <c r="N45" s="14" t="str">
        <f>_xlfn.XLOOKUP(tab_alap[[#This Row],[azonosito]], Koordinatak[azonosito_1], Koordinatak[X_1], "-")</f>
        <v>25.7957177</v>
      </c>
      <c r="O45" t="str">
        <f>_xlfn.XLOOKUP(tab_alap[[#This Row],[azonosito]], Koordinatak[azonosito_1], Koordinatak[Y_1], "-")</f>
        <v>45.8636617</v>
      </c>
      <c r="Q45" s="13" t="s">
        <v>219</v>
      </c>
      <c r="R45" s="13" t="s">
        <v>220</v>
      </c>
      <c r="S45" s="13" t="s">
        <v>221</v>
      </c>
    </row>
    <row r="46" spans="1:19">
      <c r="A46">
        <v>45</v>
      </c>
      <c r="B46" s="1" t="s">
        <v>222</v>
      </c>
      <c r="C46" s="5" t="str">
        <f>HYPERLINK(tab_alap[[#This Row],[Link]], "Megnyitás ↗")</f>
        <v>Megnyitás ↗</v>
      </c>
      <c r="D46">
        <v>12</v>
      </c>
      <c r="E46">
        <v>84900</v>
      </c>
      <c r="F46">
        <v>63.8</v>
      </c>
      <c r="G46">
        <f>tab_alap[[#This Row],[Ár]]/tab_alap[[#This Row],[Nm]]</f>
        <v>1330.7210031347963</v>
      </c>
      <c r="H4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6" s="3" t="s">
        <v>20</v>
      </c>
      <c r="J46" s="5" t="str">
        <f>HYPERLINK("https://www.google.com/maps/search/?api=1&amp;query=" &amp; tab_alap[[#This Row],[Y]] &amp; "," &amp; tab_alap[[#This Row],[X]], "Megnyitás")</f>
        <v>Megnyitás</v>
      </c>
      <c r="K46" s="15" t="b">
        <v>0</v>
      </c>
      <c r="L46" t="s">
        <v>21</v>
      </c>
      <c r="M46" t="str">
        <f>LEFT(tab_alap[[#This Row],[állapot]],1) &amp; tab_alap[[#This Row],[Térképjelölés]]</f>
        <v>f12</v>
      </c>
      <c r="N46" s="14" t="str">
        <f>_xlfn.XLOOKUP(tab_alap[[#This Row],[azonosito]], Koordinatak[azonosito_1], Koordinatak[X_1], "-")</f>
        <v>25.7749498</v>
      </c>
      <c r="O46" t="str">
        <f>_xlfn.XLOOKUP(tab_alap[[#This Row],[azonosito]], Koordinatak[azonosito_1], Koordinatak[Y_1], "-")</f>
        <v>45.8584708</v>
      </c>
      <c r="Q46" s="13" t="s">
        <v>223</v>
      </c>
      <c r="R46" s="13" t="s">
        <v>224</v>
      </c>
      <c r="S46" s="13" t="s">
        <v>225</v>
      </c>
    </row>
    <row r="47" spans="1:19">
      <c r="A47">
        <v>46</v>
      </c>
      <c r="B47" s="1" t="s">
        <v>226</v>
      </c>
      <c r="C47" s="5" t="str">
        <f>HYPERLINK(tab_alap[[#This Row],[Link]], "Megnyitás ↗")</f>
        <v>Megnyitás ↗</v>
      </c>
      <c r="D47">
        <v>17</v>
      </c>
      <c r="E47">
        <v>84900</v>
      </c>
      <c r="F47">
        <v>57</v>
      </c>
      <c r="G47">
        <f>tab_alap[[#This Row],[Ár]]/tab_alap[[#This Row],[Nm]]</f>
        <v>1489.4736842105262</v>
      </c>
      <c r="H4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47" s="3" t="s">
        <v>227</v>
      </c>
      <c r="J47" s="5" t="str">
        <f>HYPERLINK("https://www.google.com/maps/search/?api=1&amp;query=" &amp; tab_alap[[#This Row],[Y]] &amp; "," &amp; tab_alap[[#This Row],[X]], "Megnyitás")</f>
        <v>Megnyitás</v>
      </c>
      <c r="K47" s="15" t="b">
        <v>0</v>
      </c>
      <c r="L47" t="s">
        <v>63</v>
      </c>
      <c r="M47" t="str">
        <f>LEFT(tab_alap[[#This Row],[állapot]],1) &amp; tab_alap[[#This Row],[Térképjelölés]]</f>
        <v>r17</v>
      </c>
      <c r="N47" s="14" t="str">
        <f>_xlfn.XLOOKUP(tab_alap[[#This Row],[azonosito]], Koordinatak[azonosito_1], Koordinatak[X_1], "-")</f>
        <v>25.7944262</v>
      </c>
      <c r="O47" t="str">
        <f>_xlfn.XLOOKUP(tab_alap[[#This Row],[azonosito]], Koordinatak[azonosito_1], Koordinatak[Y_1], "-")</f>
        <v>45.8577083</v>
      </c>
      <c r="Q47" s="13" t="s">
        <v>228</v>
      </c>
      <c r="R47" s="13" t="s">
        <v>229</v>
      </c>
      <c r="S47" s="13" t="s">
        <v>230</v>
      </c>
    </row>
    <row r="48" spans="1:19">
      <c r="A48">
        <v>47</v>
      </c>
      <c r="B48" s="1" t="s">
        <v>231</v>
      </c>
      <c r="C48" s="5" t="str">
        <f>HYPERLINK(tab_alap[[#This Row],[Link]], "Megnyitás ↗")</f>
        <v>Megnyitás ↗</v>
      </c>
      <c r="D48">
        <v>18</v>
      </c>
      <c r="E48">
        <v>84800</v>
      </c>
      <c r="F48">
        <v>54</v>
      </c>
      <c r="G48">
        <f>tab_alap[[#This Row],[Ár]]/tab_alap[[#This Row],[Nm]]</f>
        <v>1570.3703703703704</v>
      </c>
      <c r="H4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48" s="3" t="s">
        <v>20</v>
      </c>
      <c r="J48" s="5" t="str">
        <f>HYPERLINK("https://www.google.com/maps/search/?api=1&amp;query=" &amp; tab_alap[[#This Row],[Y]] &amp; "," &amp; tab_alap[[#This Row],[X]], "Megnyitás")</f>
        <v>Megnyitás</v>
      </c>
      <c r="K48" s="15" t="b">
        <v>0</v>
      </c>
      <c r="L48" t="s">
        <v>63</v>
      </c>
      <c r="M48" t="str">
        <f>LEFT(tab_alap[[#This Row],[állapot]],1) &amp; tab_alap[[#This Row],[Térképjelölés]]</f>
        <v>r18</v>
      </c>
      <c r="N48" s="14" t="str">
        <f>_xlfn.XLOOKUP(tab_alap[[#This Row],[azonosito]], Koordinatak[azonosito_1], Koordinatak[X_1], "-")</f>
        <v>25.7958842</v>
      </c>
      <c r="O48" t="str">
        <f>_xlfn.XLOOKUP(tab_alap[[#This Row],[azonosito]], Koordinatak[azonosito_1], Koordinatak[Y_1], "-")</f>
        <v>45.8603597</v>
      </c>
      <c r="Q48" s="13" t="s">
        <v>232</v>
      </c>
      <c r="R48" s="13" t="s">
        <v>233</v>
      </c>
      <c r="S48" s="13" t="s">
        <v>234</v>
      </c>
    </row>
    <row r="49" spans="1:19">
      <c r="A49">
        <v>48</v>
      </c>
      <c r="B49" s="1" t="s">
        <v>235</v>
      </c>
      <c r="C49" s="5" t="str">
        <f>HYPERLINK(tab_alap[[#This Row],[Link]], "Megnyitás ↗")</f>
        <v>Megnyitás ↗</v>
      </c>
      <c r="D49">
        <v>19</v>
      </c>
      <c r="E49">
        <v>84500</v>
      </c>
      <c r="F49">
        <v>71</v>
      </c>
      <c r="G49">
        <f>tab_alap[[#This Row],[Ár]]/tab_alap[[#This Row],[Nm]]</f>
        <v>1190.1408450704225</v>
      </c>
      <c r="H4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49" s="3" t="s">
        <v>236</v>
      </c>
      <c r="J49" s="5" t="str">
        <f>HYPERLINK("https://www.google.com/maps/search/?api=1&amp;query=" &amp; tab_alap[[#This Row],[Y]] &amp; "," &amp; tab_alap[[#This Row],[X]], "Megnyitás")</f>
        <v>Megnyitás</v>
      </c>
      <c r="K49" s="15" t="b">
        <v>0</v>
      </c>
      <c r="L49" t="s">
        <v>63</v>
      </c>
      <c r="M49" t="str">
        <f>LEFT(tab_alap[[#This Row],[állapot]],1) &amp; tab_alap[[#This Row],[Térképjelölés]]</f>
        <v>r19</v>
      </c>
      <c r="N49" s="14" t="str">
        <f>_xlfn.XLOOKUP(tab_alap[[#This Row],[azonosito]], Koordinatak[azonosito_1], Koordinatak[X_1], "-")</f>
        <v>25.7748947</v>
      </c>
      <c r="O49" t="str">
        <f>_xlfn.XLOOKUP(tab_alap[[#This Row],[azonosito]], Koordinatak[azonosito_1], Koordinatak[Y_1], "-")</f>
        <v>45.8576593</v>
      </c>
      <c r="Q49" s="13" t="s">
        <v>237</v>
      </c>
      <c r="R49" s="13" t="s">
        <v>238</v>
      </c>
      <c r="S49" s="13" t="s">
        <v>239</v>
      </c>
    </row>
    <row r="50" spans="1:19">
      <c r="A50">
        <v>49</v>
      </c>
      <c r="B50" s="1" t="s">
        <v>240</v>
      </c>
      <c r="C50" s="5" t="str">
        <f>HYPERLINK(tab_alap[[#This Row],[Link]], "Megnyitás ↗")</f>
        <v>Megnyitás ↗</v>
      </c>
      <c r="D50">
        <v>20</v>
      </c>
      <c r="E50">
        <v>83900</v>
      </c>
      <c r="F50">
        <v>54</v>
      </c>
      <c r="G50">
        <f>tab_alap[[#This Row],[Ár]]/tab_alap[[#This Row],[Nm]]</f>
        <v>1553.7037037037037</v>
      </c>
      <c r="H5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0" s="3" t="s">
        <v>130</v>
      </c>
      <c r="J50" s="5" t="str">
        <f>HYPERLINK("https://www.google.com/maps/search/?api=1&amp;query=" &amp; tab_alap[[#This Row],[Y]] &amp; "," &amp; tab_alap[[#This Row],[X]], "Megnyitás")</f>
        <v>Megnyitás</v>
      </c>
      <c r="K50" s="15" t="b">
        <v>0</v>
      </c>
      <c r="L50" t="s">
        <v>63</v>
      </c>
      <c r="M50" t="str">
        <f>LEFT(tab_alap[[#This Row],[állapot]],1) &amp; tab_alap[[#This Row],[Térképjelölés]]</f>
        <v>r20</v>
      </c>
      <c r="N50" s="14" t="str">
        <f>_xlfn.XLOOKUP(tab_alap[[#This Row],[azonosito]], Koordinatak[azonosito_1], Koordinatak[X_1], "-")</f>
        <v>25.7990778</v>
      </c>
      <c r="O50" t="str">
        <f>_xlfn.XLOOKUP(tab_alap[[#This Row],[azonosito]], Koordinatak[azonosito_1], Koordinatak[Y_1], "-")</f>
        <v>45.8654557</v>
      </c>
      <c r="Q50" s="13" t="s">
        <v>241</v>
      </c>
      <c r="R50" s="13" t="s">
        <v>242</v>
      </c>
      <c r="S50" s="13" t="s">
        <v>243</v>
      </c>
    </row>
    <row r="51" spans="1:19">
      <c r="A51">
        <v>50</v>
      </c>
      <c r="B51" s="1" t="s">
        <v>244</v>
      </c>
      <c r="C51" s="5" t="str">
        <f>HYPERLINK(tab_alap[[#This Row],[Link]], "Megnyitás ↗")</f>
        <v>Megnyitás ↗</v>
      </c>
      <c r="D51">
        <v>13</v>
      </c>
      <c r="E51">
        <v>83000</v>
      </c>
      <c r="F51">
        <v>68</v>
      </c>
      <c r="G51">
        <f>tab_alap[[#This Row],[Ár]]/tab_alap[[#This Row],[Nm]]</f>
        <v>1220.5882352941176</v>
      </c>
      <c r="H5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51" s="3" t="s">
        <v>20</v>
      </c>
      <c r="J51" s="5" t="str">
        <f>HYPERLINK("https://www.google.com/maps/search/?api=1&amp;query=" &amp; tab_alap[[#This Row],[Y]] &amp; "," &amp; tab_alap[[#This Row],[X]], "Megnyitás")</f>
        <v>Megnyitás</v>
      </c>
      <c r="K51" s="15" t="b">
        <v>0</v>
      </c>
      <c r="L51" t="s">
        <v>21</v>
      </c>
      <c r="M51" t="str">
        <f>LEFT(tab_alap[[#This Row],[állapot]],1) &amp; tab_alap[[#This Row],[Térképjelölés]]</f>
        <v>f13</v>
      </c>
      <c r="N51" s="14" t="str">
        <f>_xlfn.XLOOKUP(tab_alap[[#This Row],[azonosito]], Koordinatak[azonosito_1], Koordinatak[X_1], "-")</f>
        <v>25.7998059</v>
      </c>
      <c r="O51" t="str">
        <f>_xlfn.XLOOKUP(tab_alap[[#This Row],[azonosito]], Koordinatak[azonosito_1], Koordinatak[Y_1], "-")</f>
        <v>45.8586772</v>
      </c>
      <c r="Q51" s="13" t="s">
        <v>245</v>
      </c>
      <c r="R51" s="13" t="s">
        <v>246</v>
      </c>
      <c r="S51" s="13" t="s">
        <v>247</v>
      </c>
    </row>
    <row r="52" spans="1:19">
      <c r="A52">
        <v>51</v>
      </c>
      <c r="B52" s="1" t="s">
        <v>248</v>
      </c>
      <c r="C52" s="5" t="str">
        <f>HYPERLINK(tab_alap[[#This Row],[Link]], "Megnyitás ↗")</f>
        <v>Megnyitás ↗</v>
      </c>
      <c r="D52">
        <v>16</v>
      </c>
      <c r="E52">
        <v>83000</v>
      </c>
      <c r="F52">
        <v>49.17</v>
      </c>
      <c r="G52" s="4">
        <f>tab_alap[[#This Row],[Ár]]/tab_alap[[#This Row],[Nm]]</f>
        <v>1688.0211511083994</v>
      </c>
      <c r="H5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2" s="3" t="s">
        <v>20</v>
      </c>
      <c r="J52" s="5" t="str">
        <f>HYPERLINK("https://www.google.com/maps/search/?api=1&amp;query=" &amp; tab_alap[[#This Row],[Y]] &amp; "," &amp; tab_alap[[#This Row],[X]], "Megnyitás")</f>
        <v>Megnyitás</v>
      </c>
      <c r="K52" s="15" t="b">
        <v>0</v>
      </c>
      <c r="L52" t="s">
        <v>29</v>
      </c>
      <c r="M52" t="str">
        <f>LEFT(tab_alap[[#This Row],[állapot]],1) &amp; tab_alap[[#This Row],[Térképjelölés]]</f>
        <v>j16</v>
      </c>
      <c r="N52" s="14" t="str">
        <f>_xlfn.XLOOKUP(tab_alap[[#This Row],[azonosito]], Koordinatak[azonosito_1], Koordinatak[X_1], "-")</f>
        <v>25.8000795</v>
      </c>
      <c r="O52" t="str">
        <f>_xlfn.XLOOKUP(tab_alap[[#This Row],[azonosito]], Koordinatak[azonosito_1], Koordinatak[Y_1], "-")</f>
        <v>45.8593725</v>
      </c>
      <c r="Q52" s="13" t="s">
        <v>249</v>
      </c>
      <c r="R52" s="13" t="s">
        <v>250</v>
      </c>
      <c r="S52" s="13" t="s">
        <v>251</v>
      </c>
    </row>
    <row r="53" spans="1:19">
      <c r="A53">
        <v>52</v>
      </c>
      <c r="B53" s="1" t="s">
        <v>252</v>
      </c>
      <c r="C53" s="5" t="str">
        <f>HYPERLINK(tab_alap[[#This Row],[Link]], "Megnyitás ↗")</f>
        <v>Megnyitás ↗</v>
      </c>
      <c r="D53">
        <v>14</v>
      </c>
      <c r="E53">
        <v>83000</v>
      </c>
      <c r="F53">
        <v>63</v>
      </c>
      <c r="G53" s="4">
        <f>tab_alap[[#This Row],[Ár]]/tab_alap[[#This Row],[Nm]]</f>
        <v>1317.4603174603174</v>
      </c>
      <c r="H5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53" s="3" t="s">
        <v>20</v>
      </c>
      <c r="J53" s="5" t="str">
        <f>HYPERLINK("https://www.google.com/maps/search/?api=1&amp;query=" &amp; tab_alap[[#This Row],[Y]] &amp; "," &amp; tab_alap[[#This Row],[X]], "Megnyitás")</f>
        <v>Megnyitás</v>
      </c>
      <c r="K53" s="15" t="b">
        <v>0</v>
      </c>
      <c r="L53" t="s">
        <v>21</v>
      </c>
      <c r="M53" t="str">
        <f>LEFT(tab_alap[[#This Row],[állapot]],1) &amp; tab_alap[[#This Row],[Térképjelölés]]</f>
        <v>f14</v>
      </c>
      <c r="N53" s="14" t="str">
        <f>_xlfn.XLOOKUP(tab_alap[[#This Row],[azonosito]], Koordinatak[azonosito_1], Koordinatak[X_1], "-")</f>
        <v>25.7999883</v>
      </c>
      <c r="O53" t="str">
        <f>_xlfn.XLOOKUP(tab_alap[[#This Row],[azonosito]], Koordinatak[azonosito_1], Koordinatak[Y_1], "-")</f>
        <v>45.859111</v>
      </c>
      <c r="Q53" s="13" t="s">
        <v>253</v>
      </c>
      <c r="R53" s="13" t="s">
        <v>254</v>
      </c>
      <c r="S53" s="13" t="s">
        <v>255</v>
      </c>
    </row>
    <row r="54" spans="1:19">
      <c r="A54">
        <v>53</v>
      </c>
      <c r="B54" s="1" t="s">
        <v>256</v>
      </c>
      <c r="C54" s="5" t="str">
        <f>HYPERLINK(tab_alap[[#This Row],[Link]], "Megnyitás ↗")</f>
        <v>Megnyitás ↗</v>
      </c>
      <c r="D54">
        <v>15</v>
      </c>
      <c r="E54">
        <v>82900</v>
      </c>
      <c r="F54">
        <v>67</v>
      </c>
      <c r="G54" s="4">
        <f>tab_alap[[#This Row],[Ár]]/tab_alap[[#This Row],[Nm]]</f>
        <v>1237.313432835821</v>
      </c>
      <c r="H5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54" s="3" t="s">
        <v>143</v>
      </c>
      <c r="J54" s="5" t="str">
        <f>HYPERLINK("https://www.google.com/maps/search/?api=1&amp;query=" &amp; tab_alap[[#This Row],[Y]] &amp; "," &amp; tab_alap[[#This Row],[X]], "Megnyitás")</f>
        <v>Megnyitás</v>
      </c>
      <c r="K54" s="15" t="b">
        <v>0</v>
      </c>
      <c r="L54" t="s">
        <v>21</v>
      </c>
      <c r="M54" t="str">
        <f>LEFT(tab_alap[[#This Row],[állapot]],1) &amp; tab_alap[[#This Row],[Térképjelölés]]</f>
        <v>f15</v>
      </c>
      <c r="N54" s="14" t="str">
        <f>_xlfn.XLOOKUP(tab_alap[[#This Row],[azonosito]], Koordinatak[azonosito_1], Koordinatak[X_1], "-")</f>
        <v>25.8080227</v>
      </c>
      <c r="O54" t="str">
        <f>_xlfn.XLOOKUP(tab_alap[[#This Row],[azonosito]], Koordinatak[azonosito_1], Koordinatak[Y_1], "-")</f>
        <v>45.8637709</v>
      </c>
      <c r="Q54" s="13" t="s">
        <v>257</v>
      </c>
      <c r="R54" s="13" t="s">
        <v>258</v>
      </c>
      <c r="S54" s="13" t="s">
        <v>259</v>
      </c>
    </row>
    <row r="55" spans="1:19">
      <c r="A55">
        <v>54</v>
      </c>
      <c r="B55" s="1" t="s">
        <v>260</v>
      </c>
      <c r="C55" s="5" t="str">
        <f>HYPERLINK(tab_alap[[#This Row],[Link]], "Megnyitás ↗")</f>
        <v>Megnyitás ↗</v>
      </c>
      <c r="D55">
        <v>17</v>
      </c>
      <c r="E55">
        <v>82800</v>
      </c>
      <c r="F55">
        <v>52.8</v>
      </c>
      <c r="G55" s="4">
        <f>tab_alap[[#This Row],[Ár]]/tab_alap[[#This Row],[Nm]]</f>
        <v>1568.1818181818182</v>
      </c>
      <c r="H5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5" s="3" t="s">
        <v>20</v>
      </c>
      <c r="J55" s="5" t="str">
        <f>HYPERLINK("https://www.google.com/maps/search/?api=1&amp;query=" &amp; tab_alap[[#This Row],[Y]] &amp; "," &amp; tab_alap[[#This Row],[X]], "Megnyitás")</f>
        <v>Megnyitás</v>
      </c>
      <c r="K55" s="15" t="b">
        <v>0</v>
      </c>
      <c r="L55" t="s">
        <v>29</v>
      </c>
      <c r="M55" t="str">
        <f>LEFT(tab_alap[[#This Row],[állapot]],1) &amp; tab_alap[[#This Row],[Térképjelölés]]</f>
        <v>j17</v>
      </c>
      <c r="N55" s="14" t="str">
        <f>_xlfn.XLOOKUP(tab_alap[[#This Row],[azonosito]], Koordinatak[azonosito_1], Koordinatak[X_1], "-")</f>
        <v>25.7933586</v>
      </c>
      <c r="O55" t="str">
        <f>_xlfn.XLOOKUP(tab_alap[[#This Row],[azonosito]], Koordinatak[azonosito_1], Koordinatak[Y_1], "-")</f>
        <v>45.8587708</v>
      </c>
      <c r="Q55" s="13" t="s">
        <v>261</v>
      </c>
      <c r="R55" s="13" t="s">
        <v>262</v>
      </c>
      <c r="S55" s="13" t="s">
        <v>263</v>
      </c>
    </row>
    <row r="56" spans="1:19">
      <c r="A56">
        <v>55</v>
      </c>
      <c r="B56" s="1" t="s">
        <v>264</v>
      </c>
      <c r="C56" s="5" t="str">
        <f>HYPERLINK(tab_alap[[#This Row],[Link]], "Megnyitás ↗")</f>
        <v>Megnyitás ↗</v>
      </c>
      <c r="D56">
        <v>18</v>
      </c>
      <c r="E56">
        <v>79900</v>
      </c>
      <c r="F56">
        <v>56</v>
      </c>
      <c r="G56" s="4">
        <f>tab_alap[[#This Row],[Ár]]/tab_alap[[#This Row],[Nm]]</f>
        <v>1426.7857142857142</v>
      </c>
      <c r="H5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6" s="3" t="s">
        <v>130</v>
      </c>
      <c r="J56" s="5" t="str">
        <f>HYPERLINK("https://www.google.com/maps/search/?api=1&amp;query=" &amp; tab_alap[[#This Row],[Y]] &amp; "," &amp; tab_alap[[#This Row],[X]], "Megnyitás")</f>
        <v>Megnyitás</v>
      </c>
      <c r="K56" s="15" t="b">
        <v>0</v>
      </c>
      <c r="L56" t="s">
        <v>29</v>
      </c>
      <c r="M56" t="str">
        <f>LEFT(tab_alap[[#This Row],[állapot]],1) &amp; tab_alap[[#This Row],[Térképjelölés]]</f>
        <v>j18</v>
      </c>
      <c r="N56" s="14" t="str">
        <f>_xlfn.XLOOKUP(tab_alap[[#This Row],[azonosito]], Koordinatak[azonosito_1], Koordinatak[X_1], "-")</f>
        <v>25.7927534</v>
      </c>
      <c r="O56" t="str">
        <f>_xlfn.XLOOKUP(tab_alap[[#This Row],[azonosito]], Koordinatak[azonosito_1], Koordinatak[Y_1], "-")</f>
        <v>45.8584198</v>
      </c>
      <c r="Q56" s="13" t="s">
        <v>265</v>
      </c>
      <c r="R56" s="13" t="s">
        <v>266</v>
      </c>
      <c r="S56" s="13" t="s">
        <v>267</v>
      </c>
    </row>
    <row r="57" spans="1:19">
      <c r="A57">
        <v>56</v>
      </c>
      <c r="B57" s="1" t="s">
        <v>268</v>
      </c>
      <c r="C57" s="5" t="str">
        <f>HYPERLINK(tab_alap[[#This Row],[Link]], "Megnyitás ↗")</f>
        <v>Megnyitás ↗</v>
      </c>
      <c r="D57">
        <v>16</v>
      </c>
      <c r="E57">
        <v>79900</v>
      </c>
      <c r="F57">
        <v>71</v>
      </c>
      <c r="G57" s="4">
        <f>tab_alap[[#This Row],[Ár]]/tab_alap[[#This Row],[Nm]]</f>
        <v>1125.3521126760563</v>
      </c>
      <c r="H5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57" s="3" t="s">
        <v>213</v>
      </c>
      <c r="J57" s="5" t="str">
        <f>HYPERLINK("https://www.google.com/maps/search/?api=1&amp;query=" &amp; tab_alap[[#This Row],[Y]] &amp; "," &amp; tab_alap[[#This Row],[X]], "Megnyitás")</f>
        <v>Megnyitás</v>
      </c>
      <c r="K57" s="15" t="b">
        <v>0</v>
      </c>
      <c r="L57" t="s">
        <v>21</v>
      </c>
      <c r="M57" t="str">
        <f>LEFT(tab_alap[[#This Row],[állapot]],1) &amp; tab_alap[[#This Row],[Térképjelölés]]</f>
        <v>f16</v>
      </c>
      <c r="N57" s="14" t="str">
        <f>_xlfn.XLOOKUP(tab_alap[[#This Row],[azonosito]], Koordinatak[azonosito_1], Koordinatak[X_1], "-")</f>
        <v>25.774476</v>
      </c>
      <c r="O57" t="str">
        <f>_xlfn.XLOOKUP(tab_alap[[#This Row],[azonosito]], Koordinatak[azonosito_1], Koordinatak[Y_1], "-")</f>
        <v>45.8595879</v>
      </c>
      <c r="P57" t="s">
        <v>269</v>
      </c>
      <c r="Q57" s="13" t="s">
        <v>270</v>
      </c>
      <c r="R57" s="13" t="s">
        <v>271</v>
      </c>
      <c r="S57" s="13" t="s">
        <v>272</v>
      </c>
    </row>
    <row r="58" spans="1:19">
      <c r="A58">
        <v>57</v>
      </c>
      <c r="B58" s="1" t="s">
        <v>273</v>
      </c>
      <c r="C58" s="5" t="str">
        <f>HYPERLINK(tab_alap[[#This Row],[Link]], "Megnyitás ↗")</f>
        <v>Megnyitás ↗</v>
      </c>
      <c r="D58">
        <v>19</v>
      </c>
      <c r="E58">
        <v>79800</v>
      </c>
      <c r="F58">
        <v>53</v>
      </c>
      <c r="G58" s="4">
        <f>tab_alap[[#This Row],[Ár]]/tab_alap[[#This Row],[Nm]]</f>
        <v>1505.6603773584907</v>
      </c>
      <c r="H5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8" s="3" t="s">
        <v>20</v>
      </c>
      <c r="J58" s="5" t="str">
        <f>HYPERLINK("https://www.google.com/maps/search/?api=1&amp;query=" &amp; tab_alap[[#This Row],[Y]] &amp; "," &amp; tab_alap[[#This Row],[X]], "Megnyitás")</f>
        <v>Megnyitás</v>
      </c>
      <c r="K58" s="15" t="b">
        <v>0</v>
      </c>
      <c r="L58" t="s">
        <v>29</v>
      </c>
      <c r="M58" t="str">
        <f>LEFT(tab_alap[[#This Row],[állapot]],1) &amp; tab_alap[[#This Row],[Térképjelölés]]</f>
        <v>j19</v>
      </c>
      <c r="N58" s="14" t="str">
        <f>_xlfn.XLOOKUP(tab_alap[[#This Row],[azonosito]], Koordinatak[azonosito_1], Koordinatak[X_1], "-")</f>
        <v>25.7943928</v>
      </c>
      <c r="O58" t="str">
        <f>_xlfn.XLOOKUP(tab_alap[[#This Row],[azonosito]], Koordinatak[azonosito_1], Koordinatak[Y_1], "-")</f>
        <v>45.8569414</v>
      </c>
      <c r="Q58" s="13" t="s">
        <v>274</v>
      </c>
      <c r="R58" s="13" t="s">
        <v>275</v>
      </c>
      <c r="S58" s="13" t="s">
        <v>276</v>
      </c>
    </row>
    <row r="59" spans="1:19">
      <c r="A59">
        <v>58</v>
      </c>
      <c r="B59" s="1" t="s">
        <v>277</v>
      </c>
      <c r="C59" s="5" t="str">
        <f>HYPERLINK(tab_alap[[#This Row],[Link]], "Megnyitás ↗")</f>
        <v>Megnyitás ↗</v>
      </c>
      <c r="D59">
        <v>21</v>
      </c>
      <c r="E59">
        <v>79000</v>
      </c>
      <c r="F59">
        <v>49</v>
      </c>
      <c r="G59" s="4">
        <f>tab_alap[[#This Row],[Ár]]/tab_alap[[#This Row],[Nm]]</f>
        <v>1612.2448979591836</v>
      </c>
      <c r="H5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59" s="3" t="s">
        <v>20</v>
      </c>
      <c r="J59" s="5" t="str">
        <f>HYPERLINK("https://www.google.com/maps/search/?api=1&amp;query=" &amp; tab_alap[[#This Row],[Y]] &amp; "," &amp; tab_alap[[#This Row],[X]], "Megnyitás")</f>
        <v>Megnyitás</v>
      </c>
      <c r="K59" s="15" t="b">
        <v>0</v>
      </c>
      <c r="L59" t="s">
        <v>63</v>
      </c>
      <c r="M59" t="str">
        <f>LEFT(tab_alap[[#This Row],[állapot]],1) &amp; tab_alap[[#This Row],[Térképjelölés]]</f>
        <v>r21</v>
      </c>
      <c r="N59" s="14" t="str">
        <f>_xlfn.XLOOKUP(tab_alap[[#This Row],[azonosito]], Koordinatak[azonosito_1], Koordinatak[X_1], "-")</f>
        <v>25.7961928</v>
      </c>
      <c r="O59" t="str">
        <f>_xlfn.XLOOKUP(tab_alap[[#This Row],[azonosito]], Koordinatak[azonosito_1], Koordinatak[Y_1], "-")</f>
        <v>45.8675058</v>
      </c>
      <c r="Q59" s="13" t="s">
        <v>278</v>
      </c>
      <c r="R59" s="13" t="s">
        <v>279</v>
      </c>
      <c r="S59" s="13" t="s">
        <v>280</v>
      </c>
    </row>
    <row r="60" spans="1:19">
      <c r="A60">
        <v>59</v>
      </c>
      <c r="B60" s="1" t="s">
        <v>281</v>
      </c>
      <c r="C60" s="5" t="str">
        <f>HYPERLINK(tab_alap[[#This Row],[Link]], "Megnyitás ↗")</f>
        <v>Megnyitás ↗</v>
      </c>
      <c r="D60">
        <v>22</v>
      </c>
      <c r="E60">
        <v>78900</v>
      </c>
      <c r="F60">
        <v>46</v>
      </c>
      <c r="G60" s="4">
        <f>tab_alap[[#This Row],[Ár]]/tab_alap[[#This Row],[Nm]]</f>
        <v>1715.2173913043478</v>
      </c>
      <c r="H6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60" s="3" t="s">
        <v>28</v>
      </c>
      <c r="J60" s="5" t="str">
        <f>HYPERLINK("https://www.google.com/maps/search/?api=1&amp;query=" &amp; tab_alap[[#This Row],[Y]] &amp; "," &amp; tab_alap[[#This Row],[X]], "Megnyitás")</f>
        <v>Megnyitás</v>
      </c>
      <c r="K60" s="15" t="b">
        <v>0</v>
      </c>
      <c r="L60" t="s">
        <v>63</v>
      </c>
      <c r="M60" t="str">
        <f>LEFT(tab_alap[[#This Row],[állapot]],1) &amp; tab_alap[[#This Row],[Térképjelölés]]</f>
        <v>r22</v>
      </c>
      <c r="N60" s="14" t="str">
        <f>_xlfn.XLOOKUP(tab_alap[[#This Row],[azonosito]], Koordinatak[azonosito_1], Koordinatak[X_1], "-")</f>
        <v>25.7792771</v>
      </c>
      <c r="O60" t="str">
        <f>_xlfn.XLOOKUP(tab_alap[[#This Row],[azonosito]], Koordinatak[azonosito_1], Koordinatak[Y_1], "-")</f>
        <v>45.8669507</v>
      </c>
      <c r="Q60" s="13" t="s">
        <v>282</v>
      </c>
      <c r="R60" s="13" t="s">
        <v>283</v>
      </c>
      <c r="S60" s="13" t="s">
        <v>284</v>
      </c>
    </row>
    <row r="61" spans="1:19">
      <c r="A61">
        <v>60</v>
      </c>
      <c r="B61" s="1" t="s">
        <v>285</v>
      </c>
      <c r="C61" s="5" t="str">
        <f>HYPERLINK(tab_alap[[#This Row],[Link]], "Megnyitás ↗")</f>
        <v>Megnyitás ↗</v>
      </c>
      <c r="D61">
        <v>23</v>
      </c>
      <c r="E61">
        <v>78800</v>
      </c>
      <c r="F61">
        <v>49</v>
      </c>
      <c r="G61" s="4">
        <f>tab_alap[[#This Row],[Ár]]/tab_alap[[#This Row],[Nm]]</f>
        <v>1608.1632653061224</v>
      </c>
      <c r="H6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61" s="3" t="s">
        <v>58</v>
      </c>
      <c r="J61" s="5" t="str">
        <f>HYPERLINK("https://www.google.com/maps/search/?api=1&amp;query=" &amp; tab_alap[[#This Row],[Y]] &amp; "," &amp; tab_alap[[#This Row],[X]], "Megnyitás")</f>
        <v>Megnyitás</v>
      </c>
      <c r="K61" s="15" t="b">
        <v>0</v>
      </c>
      <c r="L61" t="s">
        <v>63</v>
      </c>
      <c r="M61" t="str">
        <f>LEFT(tab_alap[[#This Row],[állapot]],1) &amp; tab_alap[[#This Row],[Térképjelölés]]</f>
        <v>r23</v>
      </c>
      <c r="N61" s="14" t="str">
        <f>_xlfn.XLOOKUP(tab_alap[[#This Row],[azonosito]], Koordinatak[azonosito_1], Koordinatak[X_1], "-")</f>
        <v>25.8000255</v>
      </c>
      <c r="O61" t="str">
        <f>_xlfn.XLOOKUP(tab_alap[[#This Row],[azonosito]], Koordinatak[azonosito_1], Koordinatak[Y_1], "-")</f>
        <v>45.8635662</v>
      </c>
      <c r="Q61" s="13" t="s">
        <v>286</v>
      </c>
      <c r="R61" s="13" t="s">
        <v>287</v>
      </c>
      <c r="S61" s="13" t="s">
        <v>288</v>
      </c>
    </row>
    <row r="62" spans="1:19">
      <c r="A62">
        <v>61</v>
      </c>
      <c r="B62" s="1" t="s">
        <v>289</v>
      </c>
      <c r="C62" s="5" t="str">
        <f>HYPERLINK(tab_alap[[#This Row],[Link]], "Megnyitás ↗")</f>
        <v>Megnyitás ↗</v>
      </c>
      <c r="D62">
        <v>20</v>
      </c>
      <c r="E62">
        <v>78000</v>
      </c>
      <c r="F62">
        <v>88</v>
      </c>
      <c r="G62" s="4">
        <f>tab_alap[[#This Row],[Ár]]/tab_alap[[#This Row],[Nm]]</f>
        <v>886.36363636363637</v>
      </c>
      <c r="H6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2" s="3" t="s">
        <v>20</v>
      </c>
      <c r="J62" s="5" t="str">
        <f>HYPERLINK("https://www.google.com/maps/search/?api=1&amp;query=" &amp; tab_alap[[#This Row],[Y]] &amp; "," &amp; tab_alap[[#This Row],[X]], "Megnyitás")</f>
        <v>Megnyitás</v>
      </c>
      <c r="K62" s="15" t="b">
        <v>0</v>
      </c>
      <c r="L62" t="s">
        <v>29</v>
      </c>
      <c r="M62" t="str">
        <f>LEFT(tab_alap[[#This Row],[állapot]],1) &amp; tab_alap[[#This Row],[Térképjelölés]]</f>
        <v>j20</v>
      </c>
      <c r="N62" s="14" t="str">
        <f>_xlfn.XLOOKUP(tab_alap[[#This Row],[azonosito]], Koordinatak[azonosito_1], Koordinatak[X_1], "-")</f>
        <v>25.7958446</v>
      </c>
      <c r="O62" t="str">
        <f>_xlfn.XLOOKUP(tab_alap[[#This Row],[azonosito]], Koordinatak[azonosito_1], Koordinatak[Y_1], "-")</f>
        <v>45.8691189</v>
      </c>
      <c r="Q62" s="13" t="s">
        <v>290</v>
      </c>
      <c r="R62" s="13" t="s">
        <v>291</v>
      </c>
      <c r="S62" s="13" t="s">
        <v>292</v>
      </c>
    </row>
    <row r="63" spans="1:19">
      <c r="A63">
        <v>62</v>
      </c>
      <c r="B63" s="1" t="s">
        <v>293</v>
      </c>
      <c r="C63" s="5" t="str">
        <f>HYPERLINK(tab_alap[[#This Row],[Link]], "Megnyitás ↗")</f>
        <v>Megnyitás ↗</v>
      </c>
      <c r="D63">
        <v>24</v>
      </c>
      <c r="E63">
        <v>78000</v>
      </c>
      <c r="F63">
        <v>72</v>
      </c>
      <c r="G63" s="4">
        <f>tab_alap[[#This Row],[Ár]]/tab_alap[[#This Row],[Nm]]</f>
        <v>1083.3333333333333</v>
      </c>
      <c r="H6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3" s="3" t="s">
        <v>179</v>
      </c>
      <c r="J63" s="5" t="str">
        <f>HYPERLINK("https://www.google.com/maps/search/?api=1&amp;query=" &amp; tab_alap[[#This Row],[Y]] &amp; "," &amp; tab_alap[[#This Row],[X]], "Megnyitás")</f>
        <v>Megnyitás</v>
      </c>
      <c r="K63" s="15" t="b">
        <v>0</v>
      </c>
      <c r="L63" t="s">
        <v>63</v>
      </c>
      <c r="M63" t="str">
        <f>LEFT(tab_alap[[#This Row],[állapot]],1) &amp; tab_alap[[#This Row],[Térképjelölés]]</f>
        <v>r24</v>
      </c>
      <c r="N63" s="14" t="str">
        <f>_xlfn.XLOOKUP(tab_alap[[#This Row],[azonosito]], Koordinatak[azonosito_1], Koordinatak[X_1], "-")</f>
        <v>25.7749311</v>
      </c>
      <c r="O63" t="str">
        <f>_xlfn.XLOOKUP(tab_alap[[#This Row],[azonosito]], Koordinatak[azonosito_1], Koordinatak[Y_1], "-")</f>
        <v>45.8580239</v>
      </c>
      <c r="Q63" s="13" t="s">
        <v>294</v>
      </c>
      <c r="R63" s="13" t="s">
        <v>295</v>
      </c>
      <c r="S63" s="13" t="s">
        <v>296</v>
      </c>
    </row>
    <row r="64" spans="1:19">
      <c r="A64">
        <v>63</v>
      </c>
      <c r="B64" s="1" t="s">
        <v>297</v>
      </c>
      <c r="C64" s="5" t="str">
        <f>HYPERLINK(tab_alap[[#This Row],[Link]], "Megnyitás ↗")</f>
        <v>Megnyitás ↗</v>
      </c>
      <c r="D64">
        <v>25</v>
      </c>
      <c r="E64">
        <v>78000</v>
      </c>
      <c r="F64">
        <v>65</v>
      </c>
      <c r="G64" s="4">
        <f>tab_alap[[#This Row],[Ár]]/tab_alap[[#This Row],[Nm]]</f>
        <v>1200</v>
      </c>
      <c r="H6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4" s="3" t="s">
        <v>101</v>
      </c>
      <c r="J64" s="5" t="str">
        <f>HYPERLINK("https://www.google.com/maps/search/?api=1&amp;query=" &amp; tab_alap[[#This Row],[Y]] &amp; "," &amp; tab_alap[[#This Row],[X]], "Megnyitás")</f>
        <v>Megnyitás</v>
      </c>
      <c r="K64" s="15" t="b">
        <v>0</v>
      </c>
      <c r="L64" t="s">
        <v>63</v>
      </c>
      <c r="M64" t="str">
        <f>LEFT(tab_alap[[#This Row],[állapot]],1) &amp; tab_alap[[#This Row],[Térképjelölés]]</f>
        <v>r25</v>
      </c>
      <c r="N64" s="14" t="str">
        <f>_xlfn.XLOOKUP(tab_alap[[#This Row],[azonosito]], Koordinatak[azonosito_1], Koordinatak[X_1], "-")</f>
        <v>25.807152</v>
      </c>
      <c r="O64" t="str">
        <f>_xlfn.XLOOKUP(tab_alap[[#This Row],[azonosito]], Koordinatak[azonosito_1], Koordinatak[Y_1], "-")</f>
        <v>45.8635068</v>
      </c>
      <c r="Q64" s="13" t="s">
        <v>298</v>
      </c>
      <c r="R64" s="13" t="s">
        <v>299</v>
      </c>
      <c r="S64" s="13" t="s">
        <v>300</v>
      </c>
    </row>
    <row r="65" spans="1:19">
      <c r="A65">
        <v>64</v>
      </c>
      <c r="B65" s="1" t="s">
        <v>301</v>
      </c>
      <c r="C65" s="5" t="str">
        <f>HYPERLINK(tab_alap[[#This Row],[Link]], "Megnyitás ↗")</f>
        <v>Megnyitás ↗</v>
      </c>
      <c r="D65">
        <v>26</v>
      </c>
      <c r="E65">
        <v>77900</v>
      </c>
      <c r="F65">
        <v>72</v>
      </c>
      <c r="G65" s="4">
        <f>tab_alap[[#This Row],[Ár]]/tab_alap[[#This Row],[Nm]]</f>
        <v>1081.9444444444443</v>
      </c>
      <c r="H6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5" s="3" t="s">
        <v>179</v>
      </c>
      <c r="J65" s="5" t="str">
        <f>HYPERLINK("https://www.google.com/maps/search/?api=1&amp;query=" &amp; tab_alap[[#This Row],[Y]] &amp; "," &amp; tab_alap[[#This Row],[X]], "Megnyitás")</f>
        <v>Megnyitás</v>
      </c>
      <c r="K65" s="15" t="b">
        <v>0</v>
      </c>
      <c r="L65" t="s">
        <v>63</v>
      </c>
      <c r="M65" t="str">
        <f>LEFT(tab_alap[[#This Row],[állapot]],1) &amp; tab_alap[[#This Row],[Térképjelölés]]</f>
        <v>r26</v>
      </c>
      <c r="N65" s="14" t="str">
        <f>_xlfn.XLOOKUP(tab_alap[[#This Row],[azonosito]], Koordinatak[azonosito_1], Koordinatak[X_1], "-")</f>
        <v>25.8079584</v>
      </c>
      <c r="O65" t="str">
        <f>_xlfn.XLOOKUP(tab_alap[[#This Row],[azonosito]], Koordinatak[azonosito_1], Koordinatak[Y_1], "-")</f>
        <v>45.8624371</v>
      </c>
      <c r="Q65" s="13" t="s">
        <v>302</v>
      </c>
      <c r="R65" s="13" t="s">
        <v>303</v>
      </c>
      <c r="S65" s="13" t="s">
        <v>304</v>
      </c>
    </row>
    <row r="66" spans="1:19">
      <c r="A66">
        <v>65</v>
      </c>
      <c r="B66" s="1" t="s">
        <v>305</v>
      </c>
      <c r="C66" s="5" t="str">
        <f>HYPERLINK(tab_alap[[#This Row],[Link]], "Megnyitás ↗")</f>
        <v>Megnyitás ↗</v>
      </c>
      <c r="D66">
        <v>27</v>
      </c>
      <c r="E66">
        <v>77500</v>
      </c>
      <c r="F66">
        <v>72</v>
      </c>
      <c r="G66" s="4">
        <f>tab_alap[[#This Row],[Ár]]/tab_alap[[#This Row],[Nm]]</f>
        <v>1076.3888888888889</v>
      </c>
      <c r="H6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6" s="3" t="s">
        <v>306</v>
      </c>
      <c r="J66" s="5" t="str">
        <f>HYPERLINK("https://www.google.com/maps/search/?api=1&amp;query=" &amp; tab_alap[[#This Row],[Y]] &amp; "," &amp; tab_alap[[#This Row],[X]], "Megnyitás")</f>
        <v>Megnyitás</v>
      </c>
      <c r="K66" s="15" t="b">
        <v>0</v>
      </c>
      <c r="L66" t="s">
        <v>63</v>
      </c>
      <c r="M66" t="str">
        <f>LEFT(tab_alap[[#This Row],[állapot]],1) &amp; tab_alap[[#This Row],[Térképjelölés]]</f>
        <v>r27</v>
      </c>
      <c r="N66" s="14" t="str">
        <f>_xlfn.XLOOKUP(tab_alap[[#This Row],[azonosito]], Koordinatak[azonosito_1], Koordinatak[X_1], "-")</f>
        <v>25.8070309</v>
      </c>
      <c r="O66" t="str">
        <f>_xlfn.XLOOKUP(tab_alap[[#This Row],[azonosito]], Koordinatak[azonosito_1], Koordinatak[Y_1], "-")</f>
        <v>45.8638922</v>
      </c>
      <c r="Q66" s="13" t="s">
        <v>307</v>
      </c>
      <c r="R66" s="13" t="s">
        <v>308</v>
      </c>
      <c r="S66" s="13" t="s">
        <v>309</v>
      </c>
    </row>
    <row r="67" spans="1:19">
      <c r="A67">
        <v>66</v>
      </c>
      <c r="B67" s="1" t="s">
        <v>310</v>
      </c>
      <c r="C67" s="5" t="str">
        <f>HYPERLINK(tab_alap[[#This Row],[Link]], "Megnyitás ↗")</f>
        <v>Megnyitás ↗</v>
      </c>
      <c r="D67">
        <v>17</v>
      </c>
      <c r="E67">
        <v>77000</v>
      </c>
      <c r="F67">
        <v>65</v>
      </c>
      <c r="G67" s="4">
        <f>tab_alap[[#This Row],[Ár]]/tab_alap[[#This Row],[Nm]]</f>
        <v>1184.6153846153845</v>
      </c>
      <c r="H6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67" s="3" t="s">
        <v>130</v>
      </c>
      <c r="J67" s="5" t="str">
        <f>HYPERLINK("https://www.google.com/maps/search/?api=1&amp;query=" &amp; tab_alap[[#This Row],[Y]] &amp; "," &amp; tab_alap[[#This Row],[X]], "Megnyitás")</f>
        <v>Megnyitás</v>
      </c>
      <c r="K67" s="15" t="b">
        <v>0</v>
      </c>
      <c r="L67" t="s">
        <v>21</v>
      </c>
      <c r="M67" t="str">
        <f>LEFT(tab_alap[[#This Row],[állapot]],1) &amp; tab_alap[[#This Row],[Térképjelölés]]</f>
        <v>f17</v>
      </c>
      <c r="N67" s="14" t="str">
        <f>_xlfn.XLOOKUP(tab_alap[[#This Row],[azonosito]], Koordinatak[azonosito_1], Koordinatak[X_1], "-")</f>
        <v>25.7917654</v>
      </c>
      <c r="O67" t="str">
        <f>_xlfn.XLOOKUP(tab_alap[[#This Row],[azonosito]], Koordinatak[azonosito_1], Koordinatak[Y_1], "-")</f>
        <v>45.8574339</v>
      </c>
      <c r="Q67" s="13" t="s">
        <v>311</v>
      </c>
      <c r="R67" s="13" t="s">
        <v>312</v>
      </c>
      <c r="S67" s="13" t="s">
        <v>313</v>
      </c>
    </row>
    <row r="68" spans="1:19">
      <c r="A68">
        <v>67</v>
      </c>
      <c r="B68" s="1" t="s">
        <v>314</v>
      </c>
      <c r="C68" s="5" t="str">
        <f>HYPERLINK(tab_alap[[#This Row],[Link]], "Megnyitás ↗")</f>
        <v>Megnyitás ↗</v>
      </c>
      <c r="D68">
        <v>21</v>
      </c>
      <c r="E68">
        <v>77000</v>
      </c>
      <c r="F68">
        <v>46</v>
      </c>
      <c r="G68" s="4">
        <f>tab_alap[[#This Row],[Ár]]/tab_alap[[#This Row],[Nm]]</f>
        <v>1673.9130434782608</v>
      </c>
      <c r="H6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68" s="3" t="s">
        <v>20</v>
      </c>
      <c r="J68" s="5" t="str">
        <f>HYPERLINK("https://www.google.com/maps/search/?api=1&amp;query=" &amp; tab_alap[[#This Row],[Y]] &amp; "," &amp; tab_alap[[#This Row],[X]], "Megnyitás")</f>
        <v>Megnyitás</v>
      </c>
      <c r="K68" s="15" t="b">
        <v>0</v>
      </c>
      <c r="L68" t="s">
        <v>111</v>
      </c>
      <c r="M68" t="str">
        <f>LEFT(tab_alap[[#This Row],[állapot]],1) &amp; tab_alap[[#This Row],[Térképjelölés]]</f>
        <v>j21</v>
      </c>
      <c r="N68" s="14" t="str">
        <f>_xlfn.XLOOKUP(tab_alap[[#This Row],[azonosito]], Koordinatak[azonosito_1], Koordinatak[X_1], "-")</f>
        <v>25.801398</v>
      </c>
      <c r="O68" t="str">
        <f>_xlfn.XLOOKUP(tab_alap[[#This Row],[azonosito]], Koordinatak[azonosito_1], Koordinatak[Y_1], "-")</f>
        <v>45.8626867</v>
      </c>
      <c r="Q68" s="13" t="s">
        <v>315</v>
      </c>
      <c r="R68" s="13" t="s">
        <v>316</v>
      </c>
      <c r="S68" s="13" t="s">
        <v>317</v>
      </c>
    </row>
    <row r="69" spans="1:19">
      <c r="A69">
        <v>68</v>
      </c>
      <c r="B69" s="1" t="s">
        <v>318</v>
      </c>
      <c r="C69" s="5" t="str">
        <f>HYPERLINK(tab_alap[[#This Row],[Link]], "Megnyitás ↗")</f>
        <v>Megnyitás ↗</v>
      </c>
      <c r="D69">
        <v>18</v>
      </c>
      <c r="E69">
        <v>76900</v>
      </c>
      <c r="F69">
        <v>48.8</v>
      </c>
      <c r="G69" s="4">
        <f>tab_alap[[#This Row],[Ár]]/tab_alap[[#This Row],[Nm]]</f>
        <v>1575.8196721311476</v>
      </c>
      <c r="H6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69" s="3" t="s">
        <v>58</v>
      </c>
      <c r="J69" s="5" t="str">
        <f>HYPERLINK("https://www.google.com/maps/search/?api=1&amp;query=" &amp; tab_alap[[#This Row],[Y]] &amp; "," &amp; tab_alap[[#This Row],[X]], "Megnyitás")</f>
        <v>Megnyitás</v>
      </c>
      <c r="K69" s="15" t="b">
        <v>0</v>
      </c>
      <c r="L69" t="s">
        <v>21</v>
      </c>
      <c r="M69" t="str">
        <f>LEFT(tab_alap[[#This Row],[állapot]],1) &amp; tab_alap[[#This Row],[Térképjelölés]]</f>
        <v>f18</v>
      </c>
      <c r="N69" s="14" t="str">
        <f>_xlfn.XLOOKUP(tab_alap[[#This Row],[azonosito]], Koordinatak[azonosito_1], Koordinatak[X_1], "-")</f>
        <v>25.7951967</v>
      </c>
      <c r="O69" t="str">
        <f>_xlfn.XLOOKUP(tab_alap[[#This Row],[azonosito]], Koordinatak[azonosito_1], Koordinatak[Y_1], "-")</f>
        <v>45.8678716</v>
      </c>
      <c r="Q69" s="13" t="s">
        <v>319</v>
      </c>
      <c r="R69" s="13" t="s">
        <v>320</v>
      </c>
      <c r="S69" s="13" t="s">
        <v>321</v>
      </c>
    </row>
    <row r="70" spans="1:19">
      <c r="A70">
        <v>69</v>
      </c>
      <c r="B70" s="1" t="s">
        <v>322</v>
      </c>
      <c r="C70" s="5" t="str">
        <f>HYPERLINK(tab_alap[[#This Row],[Link]], "Megnyitás ↗")</f>
        <v>Megnyitás ↗</v>
      </c>
      <c r="D70">
        <v>22</v>
      </c>
      <c r="E70">
        <v>76000</v>
      </c>
      <c r="F70">
        <v>53</v>
      </c>
      <c r="G70" s="4">
        <f>tab_alap[[#This Row],[Ár]]/tab_alap[[#This Row],[Nm]]</f>
        <v>1433.9622641509434</v>
      </c>
      <c r="H7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0" s="3" t="s">
        <v>20</v>
      </c>
      <c r="J70" s="5" t="str">
        <f>HYPERLINK("https://www.google.com/maps/search/?api=1&amp;query=" &amp; tab_alap[[#This Row],[Y]] &amp; "," &amp; tab_alap[[#This Row],[X]], "Megnyitás")</f>
        <v>Megnyitás</v>
      </c>
      <c r="K70" s="15" t="b">
        <v>0</v>
      </c>
      <c r="L70" t="s">
        <v>29</v>
      </c>
      <c r="M70" t="str">
        <f>LEFT(tab_alap[[#This Row],[állapot]],1) &amp; tab_alap[[#This Row],[Térképjelölés]]</f>
        <v>j22</v>
      </c>
      <c r="N70" s="14" t="str">
        <f>_xlfn.XLOOKUP(tab_alap[[#This Row],[azonosito]], Koordinatak[azonosito_1], Koordinatak[X_1], "-")</f>
        <v>25.7742964</v>
      </c>
      <c r="O70" t="str">
        <f>_xlfn.XLOOKUP(tab_alap[[#This Row],[azonosito]], Koordinatak[azonosito_1], Koordinatak[Y_1], "-")</f>
        <v>45.859367</v>
      </c>
      <c r="Q70" s="13" t="s">
        <v>323</v>
      </c>
      <c r="R70" s="13" t="s">
        <v>324</v>
      </c>
      <c r="S70" s="13" t="s">
        <v>325</v>
      </c>
    </row>
    <row r="71" spans="1:19">
      <c r="A71">
        <v>70</v>
      </c>
      <c r="B71" s="1" t="s">
        <v>326</v>
      </c>
      <c r="C71" s="5" t="str">
        <f>HYPERLINK(tab_alap[[#This Row],[Link]], "Megnyitás ↗")</f>
        <v>Megnyitás ↗</v>
      </c>
      <c r="D71">
        <v>19</v>
      </c>
      <c r="E71">
        <v>75900</v>
      </c>
      <c r="F71">
        <v>57.4</v>
      </c>
      <c r="G71" s="4">
        <f>tab_alap[[#This Row],[Ár]]/tab_alap[[#This Row],[Nm]]</f>
        <v>1322.2996515679442</v>
      </c>
      <c r="H7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1" s="3" t="s">
        <v>28</v>
      </c>
      <c r="J71" s="5" t="str">
        <f>HYPERLINK("https://www.google.com/maps/search/?api=1&amp;query=" &amp; tab_alap[[#This Row],[Y]] &amp; "," &amp; tab_alap[[#This Row],[X]], "Megnyitás")</f>
        <v>Megnyitás</v>
      </c>
      <c r="K71" s="15" t="b">
        <v>0</v>
      </c>
      <c r="L71" t="s">
        <v>21</v>
      </c>
      <c r="M71" t="str">
        <f>LEFT(tab_alap[[#This Row],[állapot]],1) &amp; tab_alap[[#This Row],[Térképjelölés]]</f>
        <v>f19</v>
      </c>
      <c r="N71" s="14" t="str">
        <f>_xlfn.XLOOKUP(tab_alap[[#This Row],[azonosito]], Koordinatak[azonosito_1], Koordinatak[X_1], "-")</f>
        <v>25.7906019</v>
      </c>
      <c r="O71" t="str">
        <f>_xlfn.XLOOKUP(tab_alap[[#This Row],[azonosito]], Koordinatak[azonosito_1], Koordinatak[Y_1], "-")</f>
        <v>45.8570505</v>
      </c>
      <c r="Q71" s="13" t="s">
        <v>327</v>
      </c>
      <c r="R71" s="13" t="s">
        <v>328</v>
      </c>
      <c r="S71" s="13" t="s">
        <v>329</v>
      </c>
    </row>
    <row r="72" spans="1:19">
      <c r="A72">
        <v>71</v>
      </c>
      <c r="B72" s="1" t="s">
        <v>330</v>
      </c>
      <c r="C72" s="5" t="str">
        <f>HYPERLINK(tab_alap[[#This Row],[Link]], "Megnyitás ↗")</f>
        <v>Megnyitás ↗</v>
      </c>
      <c r="D72">
        <v>28</v>
      </c>
      <c r="E72">
        <v>75500</v>
      </c>
      <c r="F72">
        <v>52</v>
      </c>
      <c r="G72" s="4">
        <f>tab_alap[[#This Row],[Ár]]/tab_alap[[#This Row],[Nm]]</f>
        <v>1451.9230769230769</v>
      </c>
      <c r="H7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2" s="3" t="s">
        <v>20</v>
      </c>
      <c r="J72" s="5" t="str">
        <f>HYPERLINK("https://www.google.com/maps/search/?api=1&amp;query=" &amp; tab_alap[[#This Row],[Y]] &amp; "," &amp; tab_alap[[#This Row],[X]], "Megnyitás")</f>
        <v>Megnyitás</v>
      </c>
      <c r="K72" s="15" t="b">
        <v>0</v>
      </c>
      <c r="L72" t="s">
        <v>63</v>
      </c>
      <c r="M72" t="str">
        <f>LEFT(tab_alap[[#This Row],[állapot]],1) &amp; tab_alap[[#This Row],[Térképjelölés]]</f>
        <v>r28</v>
      </c>
      <c r="N72" s="14" t="str">
        <f>_xlfn.XLOOKUP(tab_alap[[#This Row],[azonosito]], Koordinatak[azonosito_1], Koordinatak[X_1], "-")</f>
        <v>25.8005226</v>
      </c>
      <c r="O72" t="str">
        <f>_xlfn.XLOOKUP(tab_alap[[#This Row],[azonosito]], Koordinatak[azonosito_1], Koordinatak[Y_1], "-")</f>
        <v>45.8616875</v>
      </c>
      <c r="Q72" s="13" t="s">
        <v>331</v>
      </c>
      <c r="R72" s="13" t="s">
        <v>332</v>
      </c>
      <c r="S72" s="13" t="s">
        <v>333</v>
      </c>
    </row>
    <row r="73" spans="1:19">
      <c r="A73">
        <v>72</v>
      </c>
      <c r="B73" s="1" t="s">
        <v>334</v>
      </c>
      <c r="C73" s="5" t="str">
        <f>HYPERLINK(tab_alap[[#This Row],[Link]], "Megnyitás ↗")</f>
        <v>Megnyitás ↗</v>
      </c>
      <c r="D73">
        <v>20</v>
      </c>
      <c r="E73">
        <v>75000</v>
      </c>
      <c r="F73">
        <v>63</v>
      </c>
      <c r="G73" s="4">
        <f>tab_alap[[#This Row],[Ár]]/tab_alap[[#This Row],[Nm]]</f>
        <v>1190.4761904761904</v>
      </c>
      <c r="H7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73" s="3" t="s">
        <v>236</v>
      </c>
      <c r="J73" s="5" t="str">
        <f>HYPERLINK("https://www.google.com/maps/search/?api=1&amp;query=" &amp; tab_alap[[#This Row],[Y]] &amp; "," &amp; tab_alap[[#This Row],[X]], "Megnyitás")</f>
        <v>Megnyitás</v>
      </c>
      <c r="K73" s="15" t="b">
        <v>0</v>
      </c>
      <c r="L73" t="s">
        <v>21</v>
      </c>
      <c r="M73" t="str">
        <f>LEFT(tab_alap[[#This Row],[állapot]],1) &amp; tab_alap[[#This Row],[Térképjelölés]]</f>
        <v>f20</v>
      </c>
      <c r="N73" s="14" t="str">
        <f>_xlfn.XLOOKUP(tab_alap[[#This Row],[azonosito]], Koordinatak[azonosito_1], Koordinatak[X_1], "-")</f>
        <v>25.7755766</v>
      </c>
      <c r="O73" t="str">
        <f>_xlfn.XLOOKUP(tab_alap[[#This Row],[azonosito]], Koordinatak[azonosito_1], Koordinatak[Y_1], "-")</f>
        <v>45.8578829</v>
      </c>
      <c r="Q73" s="13" t="s">
        <v>335</v>
      </c>
      <c r="R73" s="13" t="s">
        <v>336</v>
      </c>
      <c r="S73" s="13" t="s">
        <v>337</v>
      </c>
    </row>
    <row r="74" spans="1:19">
      <c r="A74">
        <v>73</v>
      </c>
      <c r="B74" s="1" t="s">
        <v>338</v>
      </c>
      <c r="C74" s="5" t="str">
        <f>HYPERLINK(tab_alap[[#This Row],[Link]], "Megnyitás ↗")</f>
        <v>Megnyitás ↗</v>
      </c>
      <c r="D74">
        <v>23</v>
      </c>
      <c r="E74">
        <v>75000</v>
      </c>
      <c r="F74">
        <v>49</v>
      </c>
      <c r="G74" s="4">
        <f>tab_alap[[#This Row],[Ár]]/tab_alap[[#This Row],[Nm]]</f>
        <v>1530.6122448979593</v>
      </c>
      <c r="H7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4" s="3" t="s">
        <v>161</v>
      </c>
      <c r="J74" s="5" t="str">
        <f>HYPERLINK("https://www.google.com/maps/search/?api=1&amp;query=" &amp; tab_alap[[#This Row],[Y]] &amp; "," &amp; tab_alap[[#This Row],[X]], "Megnyitás")</f>
        <v>Megnyitás</v>
      </c>
      <c r="K74" s="15" t="b">
        <v>0</v>
      </c>
      <c r="L74" t="s">
        <v>111</v>
      </c>
      <c r="M74" t="str">
        <f>LEFT(tab_alap[[#This Row],[állapot]],1) &amp; tab_alap[[#This Row],[Térképjelölés]]</f>
        <v>j23</v>
      </c>
      <c r="N74" s="14" t="str">
        <f>_xlfn.XLOOKUP(tab_alap[[#This Row],[azonosito]], Koordinatak[azonosito_1], Koordinatak[X_1], "-")</f>
        <v>25.801666</v>
      </c>
      <c r="O74" t="str">
        <f>_xlfn.XLOOKUP(tab_alap[[#This Row],[azonosito]], Koordinatak[azonosito_1], Koordinatak[Y_1], "-")</f>
        <v>45.8639133</v>
      </c>
      <c r="Q74" s="13" t="s">
        <v>339</v>
      </c>
      <c r="R74" s="13" t="s">
        <v>340</v>
      </c>
      <c r="S74" s="13" t="s">
        <v>341</v>
      </c>
    </row>
    <row r="75" spans="1:19">
      <c r="A75">
        <v>74</v>
      </c>
      <c r="B75" s="1" t="s">
        <v>342</v>
      </c>
      <c r="C75" s="5" t="str">
        <f>HYPERLINK(tab_alap[[#This Row],[Link]], "Megnyitás ↗")</f>
        <v>Megnyitás ↗</v>
      </c>
      <c r="D75">
        <v>29</v>
      </c>
      <c r="E75">
        <v>75000</v>
      </c>
      <c r="F75">
        <v>67</v>
      </c>
      <c r="G75" s="4">
        <f>tab_alap[[#This Row],[Ár]]/tab_alap[[#This Row],[Nm]]</f>
        <v>1119.4029850746269</v>
      </c>
      <c r="H7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75" s="3" t="s">
        <v>20</v>
      </c>
      <c r="J75" s="5" t="str">
        <f>HYPERLINK("https://www.google.com/maps/search/?api=1&amp;query=" &amp; tab_alap[[#This Row],[Y]] &amp; "," &amp; tab_alap[[#This Row],[X]], "Megnyitás")</f>
        <v>Megnyitás</v>
      </c>
      <c r="K75" s="15" t="b">
        <v>0</v>
      </c>
      <c r="L75" t="s">
        <v>63</v>
      </c>
      <c r="M75" t="str">
        <f>LEFT(tab_alap[[#This Row],[állapot]],1) &amp; tab_alap[[#This Row],[Térképjelölés]]</f>
        <v>r29</v>
      </c>
      <c r="N75" s="14" t="str">
        <f>_xlfn.XLOOKUP(tab_alap[[#This Row],[azonosito]], Koordinatak[azonosito_1], Koordinatak[X_1], "-")</f>
        <v>25.7988931</v>
      </c>
      <c r="O75" t="str">
        <f>_xlfn.XLOOKUP(tab_alap[[#This Row],[azonosito]], Koordinatak[azonosito_1], Koordinatak[Y_1], "-")</f>
        <v>45.8615416</v>
      </c>
      <c r="Q75" s="13" t="s">
        <v>343</v>
      </c>
      <c r="R75" s="13" t="s">
        <v>344</v>
      </c>
      <c r="S75" s="13" t="s">
        <v>345</v>
      </c>
    </row>
    <row r="76" spans="1:19">
      <c r="A76">
        <v>75</v>
      </c>
      <c r="B76" s="1" t="s">
        <v>346</v>
      </c>
      <c r="C76" s="5" t="str">
        <f>HYPERLINK(tab_alap[[#This Row],[Link]], "Megnyitás ↗")</f>
        <v>Megnyitás ↗</v>
      </c>
      <c r="D76">
        <v>30</v>
      </c>
      <c r="E76">
        <v>75000</v>
      </c>
      <c r="F76">
        <v>80</v>
      </c>
      <c r="G76" s="4">
        <f>tab_alap[[#This Row],[Ár]]/tab_alap[[#This Row],[Nm]]</f>
        <v>937.5</v>
      </c>
      <c r="H7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76" s="3" t="s">
        <v>161</v>
      </c>
      <c r="J76" s="5" t="str">
        <f>HYPERLINK("https://www.google.com/maps/search/?api=1&amp;query=" &amp; tab_alap[[#This Row],[Y]] &amp; "," &amp; tab_alap[[#This Row],[X]], "Megnyitás")</f>
        <v>Megnyitás</v>
      </c>
      <c r="K76" s="15" t="b">
        <v>0</v>
      </c>
      <c r="L76" t="s">
        <v>63</v>
      </c>
      <c r="M76" t="str">
        <f>LEFT(tab_alap[[#This Row],[állapot]],1) &amp; tab_alap[[#This Row],[Térképjelölés]]</f>
        <v>r30</v>
      </c>
      <c r="N76" s="14" t="str">
        <f>_xlfn.XLOOKUP(tab_alap[[#This Row],[azonosito]], Koordinatak[azonosito_1], Koordinatak[X_1], "-")</f>
        <v>25.8073543</v>
      </c>
      <c r="O76" t="str">
        <f>_xlfn.XLOOKUP(tab_alap[[#This Row],[azonosito]], Koordinatak[azonosito_1], Koordinatak[Y_1], "-")</f>
        <v>45.8634554</v>
      </c>
      <c r="Q76" s="13" t="s">
        <v>347</v>
      </c>
      <c r="R76" s="13" t="s">
        <v>348</v>
      </c>
      <c r="S76" s="13" t="s">
        <v>349</v>
      </c>
    </row>
    <row r="77" spans="1:19">
      <c r="A77">
        <v>76</v>
      </c>
      <c r="B77" s="1" t="s">
        <v>350</v>
      </c>
      <c r="C77" s="5" t="str">
        <f>HYPERLINK(tab_alap[[#This Row],[Link]], "Megnyitás ↗")</f>
        <v>Megnyitás ↗</v>
      </c>
      <c r="D77">
        <v>31</v>
      </c>
      <c r="E77">
        <v>75000</v>
      </c>
      <c r="F77">
        <v>67</v>
      </c>
      <c r="G77" s="4">
        <f>tab_alap[[#This Row],[Ár]]/tab_alap[[#This Row],[Nm]]</f>
        <v>1119.4029850746269</v>
      </c>
      <c r="H7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77" s="3" t="s">
        <v>351</v>
      </c>
      <c r="J77" s="5" t="str">
        <f>HYPERLINK("https://www.google.com/maps/search/?api=1&amp;query=" &amp; tab_alap[[#This Row],[Y]] &amp; "," &amp; tab_alap[[#This Row],[X]], "Megnyitás")</f>
        <v>Megnyitás</v>
      </c>
      <c r="K77" s="15" t="b">
        <v>0</v>
      </c>
      <c r="L77" t="s">
        <v>63</v>
      </c>
      <c r="M77" t="str">
        <f>LEFT(tab_alap[[#This Row],[állapot]],1) &amp; tab_alap[[#This Row],[Térképjelölés]]</f>
        <v>r31</v>
      </c>
      <c r="N77" s="14" t="str">
        <f>_xlfn.XLOOKUP(tab_alap[[#This Row],[azonosito]], Koordinatak[azonosito_1], Koordinatak[X_1], "-")</f>
        <v>25.778325</v>
      </c>
      <c r="O77" t="str">
        <f>_xlfn.XLOOKUP(tab_alap[[#This Row],[azonosito]], Koordinatak[azonosito_1], Koordinatak[Y_1], "-")</f>
        <v>45.8622924</v>
      </c>
      <c r="Q77" s="13" t="s">
        <v>352</v>
      </c>
      <c r="R77" s="13" t="s">
        <v>353</v>
      </c>
      <c r="S77" s="13" t="s">
        <v>354</v>
      </c>
    </row>
    <row r="78" spans="1:19">
      <c r="A78">
        <v>77</v>
      </c>
      <c r="B78" s="1" t="s">
        <v>355</v>
      </c>
      <c r="C78" s="5" t="str">
        <f>HYPERLINK(tab_alap[[#This Row],[Link]], "Megnyitás ↗")</f>
        <v>Megnyitás ↗</v>
      </c>
      <c r="D78">
        <v>21</v>
      </c>
      <c r="E78">
        <v>75000</v>
      </c>
      <c r="F78">
        <v>51</v>
      </c>
      <c r="G78" s="4">
        <f>tab_alap[[#This Row],[Ár]]/tab_alap[[#This Row],[Nm]]</f>
        <v>1470.5882352941176</v>
      </c>
      <c r="H7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8" s="3" t="s">
        <v>356</v>
      </c>
      <c r="J78" s="5" t="str">
        <f>HYPERLINK("https://www.google.com/maps/search/?api=1&amp;query=" &amp; tab_alap[[#This Row],[Y]] &amp; "," &amp; tab_alap[[#This Row],[X]], "Megnyitás")</f>
        <v>Megnyitás</v>
      </c>
      <c r="K78" s="15" t="b">
        <v>0</v>
      </c>
      <c r="L78" t="s">
        <v>21</v>
      </c>
      <c r="M78" t="str">
        <f>LEFT(tab_alap[[#This Row],[állapot]],1) &amp; tab_alap[[#This Row],[Térképjelölés]]</f>
        <v>f21</v>
      </c>
      <c r="N78" s="14" t="str">
        <f>_xlfn.XLOOKUP(tab_alap[[#This Row],[azonosito]], Koordinatak[azonosito_1], Koordinatak[X_1], "-")</f>
        <v>25.7978506</v>
      </c>
      <c r="O78" t="str">
        <f>_xlfn.XLOOKUP(tab_alap[[#This Row],[azonosito]], Koordinatak[azonosito_1], Koordinatak[Y_1], "-")</f>
        <v>45.8642355</v>
      </c>
      <c r="Q78" s="13" t="s">
        <v>357</v>
      </c>
      <c r="R78" s="13" t="s">
        <v>358</v>
      </c>
      <c r="S78" s="13" t="s">
        <v>359</v>
      </c>
    </row>
    <row r="79" spans="1:19">
      <c r="A79">
        <v>78</v>
      </c>
      <c r="B79" s="1" t="s">
        <v>360</v>
      </c>
      <c r="C79" s="5" t="str">
        <f>HYPERLINK(tab_alap[[#This Row],[Link]], "Megnyitás ↗")</f>
        <v>Megnyitás ↗</v>
      </c>
      <c r="D79">
        <v>22</v>
      </c>
      <c r="E79">
        <v>74900</v>
      </c>
      <c r="F79">
        <v>44</v>
      </c>
      <c r="G79" s="4">
        <f>tab_alap[[#This Row],[Ár]]/tab_alap[[#This Row],[Nm]]</f>
        <v>1702.2727272727273</v>
      </c>
      <c r="H7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79" s="3" t="s">
        <v>361</v>
      </c>
      <c r="J79" s="5" t="str">
        <f>HYPERLINK("https://www.google.com/maps/search/?api=1&amp;query=" &amp; tab_alap[[#This Row],[Y]] &amp; "," &amp; tab_alap[[#This Row],[X]], "Megnyitás")</f>
        <v>Megnyitás</v>
      </c>
      <c r="K79" s="15" t="b">
        <v>0</v>
      </c>
      <c r="L79" t="s">
        <v>21</v>
      </c>
      <c r="M79" t="str">
        <f>LEFT(tab_alap[[#This Row],[állapot]],1) &amp; tab_alap[[#This Row],[Térképjelölés]]</f>
        <v>f22</v>
      </c>
      <c r="N79" s="14" t="str">
        <f>_xlfn.XLOOKUP(tab_alap[[#This Row],[azonosito]], Koordinatak[azonosito_1], Koordinatak[X_1], "-")</f>
        <v>25.7904514</v>
      </c>
      <c r="O79" t="str">
        <f>_xlfn.XLOOKUP(tab_alap[[#This Row],[azonosito]], Koordinatak[azonosito_1], Koordinatak[Y_1], "-")</f>
        <v>45.8632117</v>
      </c>
      <c r="Q79" s="13" t="s">
        <v>362</v>
      </c>
      <c r="R79" s="13" t="s">
        <v>363</v>
      </c>
      <c r="S79" s="13" t="s">
        <v>364</v>
      </c>
    </row>
    <row r="80" spans="1:19">
      <c r="A80">
        <v>79</v>
      </c>
      <c r="B80" s="1" t="s">
        <v>365</v>
      </c>
      <c r="C80" s="5" t="str">
        <f>HYPERLINK(tab_alap[[#This Row],[Link]], "Megnyitás ↗")</f>
        <v>Megnyitás ↗</v>
      </c>
      <c r="D80">
        <v>24</v>
      </c>
      <c r="E80">
        <v>74800</v>
      </c>
      <c r="F80">
        <v>52</v>
      </c>
      <c r="G80" s="4">
        <f>tab_alap[[#This Row],[Ár]]/tab_alap[[#This Row],[Nm]]</f>
        <v>1438.4615384615386</v>
      </c>
      <c r="H8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0" s="3" t="s">
        <v>366</v>
      </c>
      <c r="J80" s="5" t="str">
        <f>HYPERLINK("https://www.google.com/maps/search/?api=1&amp;query=" &amp; tab_alap[[#This Row],[Y]] &amp; "," &amp; tab_alap[[#This Row],[X]], "Megnyitás")</f>
        <v>Megnyitás</v>
      </c>
      <c r="K80" s="15" t="b">
        <v>0</v>
      </c>
      <c r="L80" t="s">
        <v>29</v>
      </c>
      <c r="M80" t="str">
        <f>LEFT(tab_alap[[#This Row],[állapot]],1) &amp; tab_alap[[#This Row],[Térképjelölés]]</f>
        <v>j24</v>
      </c>
      <c r="N80" s="14" t="str">
        <f>_xlfn.XLOOKUP(tab_alap[[#This Row],[azonosito]], Koordinatak[azonosito_1], Koordinatak[X_1], "-")</f>
        <v>25.8076622</v>
      </c>
      <c r="O80" t="str">
        <f>_xlfn.XLOOKUP(tab_alap[[#This Row],[azonosito]], Koordinatak[azonosito_1], Koordinatak[Y_1], "-")</f>
        <v>45.8634497</v>
      </c>
      <c r="Q80" s="13" t="s">
        <v>367</v>
      </c>
      <c r="R80" s="13" t="s">
        <v>368</v>
      </c>
      <c r="S80" s="13" t="s">
        <v>369</v>
      </c>
    </row>
    <row r="81" spans="1:19">
      <c r="A81">
        <v>80</v>
      </c>
      <c r="B81" s="1" t="s">
        <v>370</v>
      </c>
      <c r="C81" s="5" t="str">
        <f>HYPERLINK(tab_alap[[#This Row],[Link]], "Megnyitás ↗")</f>
        <v>Megnyitás ↗</v>
      </c>
      <c r="D81">
        <v>23</v>
      </c>
      <c r="E81">
        <v>74700</v>
      </c>
      <c r="F81">
        <v>57</v>
      </c>
      <c r="G81" s="4">
        <f>tab_alap[[#This Row],[Ár]]/tab_alap[[#This Row],[Nm]]</f>
        <v>1310.5263157894738</v>
      </c>
      <c r="H8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1" s="3" t="s">
        <v>130</v>
      </c>
      <c r="J81" s="5" t="str">
        <f>HYPERLINK("https://www.google.com/maps/search/?api=1&amp;query=" &amp; tab_alap[[#This Row],[Y]] &amp; "," &amp; tab_alap[[#This Row],[X]], "Megnyitás")</f>
        <v>Megnyitás</v>
      </c>
      <c r="K81" s="15" t="b">
        <v>0</v>
      </c>
      <c r="L81" t="s">
        <v>21</v>
      </c>
      <c r="M81" t="str">
        <f>LEFT(tab_alap[[#This Row],[állapot]],1) &amp; tab_alap[[#This Row],[Térképjelölés]]</f>
        <v>f23</v>
      </c>
      <c r="N81" s="14" t="str">
        <f>_xlfn.XLOOKUP(tab_alap[[#This Row],[azonosito]], Koordinatak[azonosito_1], Koordinatak[X_1], "-")</f>
        <v>25.7903261</v>
      </c>
      <c r="O81" t="str">
        <f>_xlfn.XLOOKUP(tab_alap[[#This Row],[azonosito]], Koordinatak[azonosito_1], Koordinatak[Y_1], "-")</f>
        <v>45.85783</v>
      </c>
      <c r="Q81" s="13" t="s">
        <v>371</v>
      </c>
      <c r="R81" s="13" t="s">
        <v>372</v>
      </c>
      <c r="S81" s="13" t="s">
        <v>373</v>
      </c>
    </row>
    <row r="82" spans="1:19">
      <c r="A82">
        <v>81</v>
      </c>
      <c r="B82" s="1" t="s">
        <v>374</v>
      </c>
      <c r="C82" s="5" t="str">
        <f>HYPERLINK(tab_alap[[#This Row],[Link]], "Megnyitás ↗")</f>
        <v>Megnyitás ↗</v>
      </c>
      <c r="D82">
        <v>24</v>
      </c>
      <c r="E82">
        <v>74000</v>
      </c>
      <c r="F82">
        <v>52</v>
      </c>
      <c r="G82" s="4">
        <f>tab_alap[[#This Row],[Ár]]/tab_alap[[#This Row],[Nm]]</f>
        <v>1423.0769230769231</v>
      </c>
      <c r="H8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2" s="3" t="s">
        <v>375</v>
      </c>
      <c r="J82" s="5" t="str">
        <f>HYPERLINK("https://www.google.com/maps/search/?api=1&amp;query=" &amp; tab_alap[[#This Row],[Y]] &amp; "," &amp; tab_alap[[#This Row],[X]], "Megnyitás")</f>
        <v>Megnyitás</v>
      </c>
      <c r="K82" s="15" t="b">
        <v>0</v>
      </c>
      <c r="L82" t="s">
        <v>21</v>
      </c>
      <c r="M82" t="str">
        <f>LEFT(tab_alap[[#This Row],[állapot]],1) &amp; tab_alap[[#This Row],[Térképjelölés]]</f>
        <v>f24</v>
      </c>
      <c r="N82" s="14" t="str">
        <f>_xlfn.XLOOKUP(tab_alap[[#This Row],[azonosito]], Koordinatak[azonosito_1], Koordinatak[X_1], "-")</f>
        <v>25.7753777</v>
      </c>
      <c r="O82" t="str">
        <f>_xlfn.XLOOKUP(tab_alap[[#This Row],[azonosito]], Koordinatak[azonosito_1], Koordinatak[Y_1], "-")</f>
        <v>45.8578462</v>
      </c>
      <c r="Q82" s="13" t="s">
        <v>376</v>
      </c>
      <c r="R82" s="13" t="s">
        <v>377</v>
      </c>
      <c r="S82" s="13" t="s">
        <v>378</v>
      </c>
    </row>
    <row r="83" spans="1:19">
      <c r="A83">
        <v>82</v>
      </c>
      <c r="B83" s="1" t="s">
        <v>379</v>
      </c>
      <c r="C83" s="5" t="str">
        <f>HYPERLINK(tab_alap[[#This Row],[Link]], "Megnyitás ↗")</f>
        <v>Megnyitás ↗</v>
      </c>
      <c r="D83">
        <v>25</v>
      </c>
      <c r="E83">
        <v>74000</v>
      </c>
      <c r="F83">
        <v>58.5</v>
      </c>
      <c r="G83" s="4">
        <f>tab_alap[[#This Row],[Ár]]/tab_alap[[#This Row],[Nm]]</f>
        <v>1264.9572649572649</v>
      </c>
      <c r="H8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83" s="3" t="s">
        <v>130</v>
      </c>
      <c r="J83" s="5" t="str">
        <f>HYPERLINK("https://www.google.com/maps/search/?api=1&amp;query=" &amp; tab_alap[[#This Row],[Y]] &amp; "," &amp; tab_alap[[#This Row],[X]], "Megnyitás")</f>
        <v>Megnyitás</v>
      </c>
      <c r="K83" s="15" t="b">
        <v>0</v>
      </c>
      <c r="L83" t="s">
        <v>21</v>
      </c>
      <c r="M83" t="str">
        <f>LEFT(tab_alap[[#This Row],[állapot]],1) &amp; tab_alap[[#This Row],[Térképjelölés]]</f>
        <v>f25</v>
      </c>
      <c r="N83" s="14" t="str">
        <f>_xlfn.XLOOKUP(tab_alap[[#This Row],[azonosito]], Koordinatak[azonosito_1], Koordinatak[X_1], "-")</f>
        <v>25.7920652</v>
      </c>
      <c r="O83" t="str">
        <f>_xlfn.XLOOKUP(tab_alap[[#This Row],[azonosito]], Koordinatak[azonosito_1], Koordinatak[Y_1], "-")</f>
        <v>45.8578036</v>
      </c>
      <c r="Q83" s="13" t="s">
        <v>380</v>
      </c>
      <c r="R83" s="13" t="s">
        <v>381</v>
      </c>
      <c r="S83" s="13" t="s">
        <v>382</v>
      </c>
    </row>
    <row r="84" spans="1:19">
      <c r="A84">
        <v>83</v>
      </c>
      <c r="B84" s="1" t="s">
        <v>383</v>
      </c>
      <c r="C84" s="5" t="str">
        <f>HYPERLINK(tab_alap[[#This Row],[Link]], "Megnyitás ↗")</f>
        <v>Megnyitás ↗</v>
      </c>
      <c r="D84">
        <v>32</v>
      </c>
      <c r="E84">
        <v>73500</v>
      </c>
      <c r="F84">
        <v>67</v>
      </c>
      <c r="G84" s="4">
        <f>tab_alap[[#This Row],[Ár]]/tab_alap[[#This Row],[Nm]]</f>
        <v>1097.0149253731342</v>
      </c>
      <c r="H8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84" s="3" t="s">
        <v>384</v>
      </c>
      <c r="J84" s="5" t="str">
        <f>HYPERLINK("https://www.google.com/maps/search/?api=1&amp;query=" &amp; tab_alap[[#This Row],[Y]] &amp; "," &amp; tab_alap[[#This Row],[X]], "Megnyitás")</f>
        <v>Megnyitás</v>
      </c>
      <c r="K84" s="15" t="b">
        <v>0</v>
      </c>
      <c r="L84" t="s">
        <v>63</v>
      </c>
      <c r="M84" t="str">
        <f>LEFT(tab_alap[[#This Row],[állapot]],1) &amp; tab_alap[[#This Row],[Térképjelölés]]</f>
        <v>r32</v>
      </c>
      <c r="N84" s="14" t="str">
        <f>_xlfn.XLOOKUP(tab_alap[[#This Row],[azonosito]], Koordinatak[azonosito_1], Koordinatak[X_1], "-")</f>
        <v>25.808147</v>
      </c>
      <c r="O84" t="str">
        <f>_xlfn.XLOOKUP(tab_alap[[#This Row],[azonosito]], Koordinatak[azonosito_1], Koordinatak[Y_1], "-")</f>
        <v>45.8638442</v>
      </c>
      <c r="Q84" s="13" t="s">
        <v>385</v>
      </c>
      <c r="R84" s="13" t="s">
        <v>386</v>
      </c>
      <c r="S84" s="13" t="s">
        <v>387</v>
      </c>
    </row>
    <row r="85" spans="1:19">
      <c r="A85">
        <v>84</v>
      </c>
      <c r="B85" s="1" t="s">
        <v>388</v>
      </c>
      <c r="C85" s="5" t="str">
        <f>HYPERLINK(tab_alap[[#This Row],[Link]], "Megnyitás ↗")</f>
        <v>Megnyitás ↗</v>
      </c>
      <c r="D85">
        <v>26</v>
      </c>
      <c r="E85">
        <v>73000</v>
      </c>
      <c r="F85">
        <v>69</v>
      </c>
      <c r="G85" s="4">
        <f>tab_alap[[#This Row],[Ár]]/tab_alap[[#This Row],[Nm]]</f>
        <v>1057.9710144927535</v>
      </c>
      <c r="H8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85" s="3" t="s">
        <v>306</v>
      </c>
      <c r="J85" s="5" t="str">
        <f>HYPERLINK("https://www.google.com/maps/search/?api=1&amp;query=" &amp; tab_alap[[#This Row],[Y]] &amp; "," &amp; tab_alap[[#This Row],[X]], "Megnyitás")</f>
        <v>Megnyitás</v>
      </c>
      <c r="K85" s="15" t="b">
        <v>0</v>
      </c>
      <c r="L85" t="s">
        <v>21</v>
      </c>
      <c r="M85" t="str">
        <f>LEFT(tab_alap[[#This Row],[állapot]],1) &amp; tab_alap[[#This Row],[Térképjelölés]]</f>
        <v>f26</v>
      </c>
      <c r="N85" s="14" t="str">
        <f>_xlfn.XLOOKUP(tab_alap[[#This Row],[azonosito]], Koordinatak[azonosito_1], Koordinatak[X_1], "-")</f>
        <v>25.8070073</v>
      </c>
      <c r="O85" t="str">
        <f>_xlfn.XLOOKUP(tab_alap[[#This Row],[azonosito]], Koordinatak[azonosito_1], Koordinatak[Y_1], "-")</f>
        <v>45.8644004</v>
      </c>
      <c r="Q85" s="13" t="s">
        <v>389</v>
      </c>
      <c r="R85" s="13" t="s">
        <v>390</v>
      </c>
      <c r="S85" s="13" t="s">
        <v>391</v>
      </c>
    </row>
    <row r="86" spans="1:19">
      <c r="A86">
        <v>85</v>
      </c>
      <c r="B86" s="1" t="s">
        <v>392</v>
      </c>
      <c r="C86" s="5" t="str">
        <f>HYPERLINK(tab_alap[[#This Row],[Link]], "Megnyitás ↗")</f>
        <v>Megnyitás ↗</v>
      </c>
      <c r="D86">
        <v>25</v>
      </c>
      <c r="E86">
        <v>73000</v>
      </c>
      <c r="F86">
        <v>46</v>
      </c>
      <c r="G86" s="4">
        <f>tab_alap[[#This Row],[Ár]]/tab_alap[[#This Row],[Nm]]</f>
        <v>1586.9565217391305</v>
      </c>
      <c r="H8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86" s="3" t="s">
        <v>28</v>
      </c>
      <c r="J86" s="5" t="str">
        <f>HYPERLINK("https://www.google.com/maps/search/?api=1&amp;query=" &amp; tab_alap[[#This Row],[Y]] &amp; "," &amp; tab_alap[[#This Row],[X]], "Megnyitás")</f>
        <v>Megnyitás</v>
      </c>
      <c r="K86" s="15" t="b">
        <v>0</v>
      </c>
      <c r="L86" t="s">
        <v>29</v>
      </c>
      <c r="M86" t="str">
        <f>LEFT(tab_alap[[#This Row],[állapot]],1) &amp; tab_alap[[#This Row],[Térképjelölés]]</f>
        <v>j25</v>
      </c>
      <c r="N86" s="14" t="str">
        <f>_xlfn.XLOOKUP(tab_alap[[#This Row],[azonosito]], Koordinatak[azonosito_1], Koordinatak[X_1], "-")</f>
        <v>25.7770656</v>
      </c>
      <c r="O86" t="str">
        <f>_xlfn.XLOOKUP(tab_alap[[#This Row],[azonosito]], Koordinatak[azonosito_1], Koordinatak[Y_1], "-")</f>
        <v>45.8590512</v>
      </c>
      <c r="Q86" s="13" t="s">
        <v>393</v>
      </c>
      <c r="R86" s="13" t="s">
        <v>394</v>
      </c>
      <c r="S86" s="13" t="s">
        <v>395</v>
      </c>
    </row>
    <row r="87" spans="1:19">
      <c r="A87">
        <v>86</v>
      </c>
      <c r="B87" s="1" t="s">
        <v>396</v>
      </c>
      <c r="C87" s="5" t="str">
        <f>HYPERLINK(tab_alap[[#This Row],[Link]], "Megnyitás ↗")</f>
        <v>Megnyitás ↗</v>
      </c>
      <c r="D87">
        <v>33</v>
      </c>
      <c r="E87">
        <v>73000</v>
      </c>
      <c r="F87">
        <v>54</v>
      </c>
      <c r="G87" s="4">
        <f>tab_alap[[#This Row],[Ár]]/tab_alap[[#This Row],[Nm]]</f>
        <v>1351.851851851852</v>
      </c>
      <c r="H8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7" s="3" t="s">
        <v>130</v>
      </c>
      <c r="J87" s="5" t="str">
        <f>HYPERLINK("https://www.google.com/maps/search/?api=1&amp;query=" &amp; tab_alap[[#This Row],[Y]] &amp; "," &amp; tab_alap[[#This Row],[X]], "Megnyitás")</f>
        <v>Megnyitás</v>
      </c>
      <c r="K87" s="15" t="b">
        <v>0</v>
      </c>
      <c r="L87" t="s">
        <v>63</v>
      </c>
      <c r="M87" t="str">
        <f>LEFT(tab_alap[[#This Row],[állapot]],1) &amp; tab_alap[[#This Row],[Térképjelölés]]</f>
        <v>r33</v>
      </c>
      <c r="N87" s="14" t="str">
        <f>_xlfn.XLOOKUP(tab_alap[[#This Row],[azonosito]], Koordinatak[azonosito_1], Koordinatak[X_1], "-")</f>
        <v>25.7876013</v>
      </c>
      <c r="O87" t="str">
        <f>_xlfn.XLOOKUP(tab_alap[[#This Row],[azonosito]], Koordinatak[azonosito_1], Koordinatak[Y_1], "-")</f>
        <v>45.8598581</v>
      </c>
      <c r="Q87" s="13" t="s">
        <v>397</v>
      </c>
      <c r="R87" s="13" t="s">
        <v>398</v>
      </c>
      <c r="S87" s="13" t="s">
        <v>399</v>
      </c>
    </row>
    <row r="88" spans="1:19">
      <c r="A88">
        <v>87</v>
      </c>
      <c r="B88" s="1" t="s">
        <v>400</v>
      </c>
      <c r="C88" s="5" t="str">
        <f>HYPERLINK(tab_alap[[#This Row],[Link]], "Megnyitás ↗")</f>
        <v>Megnyitás ↗</v>
      </c>
      <c r="D88">
        <v>26</v>
      </c>
      <c r="E88">
        <v>72999</v>
      </c>
      <c r="F88">
        <v>57</v>
      </c>
      <c r="G88" s="4">
        <f>tab_alap[[#This Row],[Ár]]/tab_alap[[#This Row],[Nm]]</f>
        <v>1280.6842105263158</v>
      </c>
      <c r="H8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88" s="3" t="s">
        <v>179</v>
      </c>
      <c r="J88" s="5" t="str">
        <f>HYPERLINK("https://www.google.com/maps/search/?api=1&amp;query=" &amp; tab_alap[[#This Row],[Y]] &amp; "," &amp; tab_alap[[#This Row],[X]], "Megnyitás")</f>
        <v>Megnyitás</v>
      </c>
      <c r="K88" s="15" t="b">
        <v>0</v>
      </c>
      <c r="L88" t="s">
        <v>29</v>
      </c>
      <c r="M88" t="str">
        <f>LEFT(tab_alap[[#This Row],[állapot]],1) &amp; tab_alap[[#This Row],[Térképjelölés]]</f>
        <v>j26</v>
      </c>
      <c r="N88" s="14" t="str">
        <f>_xlfn.XLOOKUP(tab_alap[[#This Row],[azonosito]], Koordinatak[azonosito_1], Koordinatak[X_1], "-")</f>
        <v>25.777859</v>
      </c>
      <c r="O88" t="str">
        <f>_xlfn.XLOOKUP(tab_alap[[#This Row],[azonosito]], Koordinatak[azonosito_1], Koordinatak[Y_1], "-")</f>
        <v>45.8627349</v>
      </c>
      <c r="Q88" s="13" t="s">
        <v>401</v>
      </c>
      <c r="R88" s="13" t="s">
        <v>402</v>
      </c>
      <c r="S88" s="13" t="s">
        <v>403</v>
      </c>
    </row>
    <row r="89" spans="1:19">
      <c r="A89">
        <v>88</v>
      </c>
      <c r="B89" s="1" t="s">
        <v>404</v>
      </c>
      <c r="C89" s="5" t="str">
        <f>HYPERLINK(tab_alap[[#This Row],[Link]], "Megnyitás ↗")</f>
        <v>Megnyitás ↗</v>
      </c>
      <c r="D89">
        <v>27</v>
      </c>
      <c r="E89">
        <v>72900</v>
      </c>
      <c r="F89">
        <v>71</v>
      </c>
      <c r="G89" s="4">
        <f>tab_alap[[#This Row],[Ár]]/tab_alap[[#This Row],[Nm]]</f>
        <v>1026.7605633802816</v>
      </c>
      <c r="H8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89" s="3" t="s">
        <v>405</v>
      </c>
      <c r="J89" s="5" t="str">
        <f>HYPERLINK("https://www.google.com/maps/search/?api=1&amp;query=" &amp; tab_alap[[#This Row],[Y]] &amp; "," &amp; tab_alap[[#This Row],[X]], "Megnyitás")</f>
        <v>Megnyitás</v>
      </c>
      <c r="K89" s="15" t="b">
        <v>0</v>
      </c>
      <c r="L89" t="s">
        <v>406</v>
      </c>
      <c r="M89" t="str">
        <f>LEFT(tab_alap[[#This Row],[állapot]],1) &amp; tab_alap[[#This Row],[Térképjelölés]]</f>
        <v>f27</v>
      </c>
      <c r="N89" s="14" t="str">
        <f>_xlfn.XLOOKUP(tab_alap[[#This Row],[azonosito]], Koordinatak[azonosito_1], Koordinatak[X_1], "-")</f>
        <v>25.774548</v>
      </c>
      <c r="O89" t="str">
        <f>_xlfn.XLOOKUP(tab_alap[[#This Row],[azonosito]], Koordinatak[azonosito_1], Koordinatak[Y_1], "-")</f>
        <v>45.8576758</v>
      </c>
      <c r="Q89" s="13" t="s">
        <v>407</v>
      </c>
      <c r="R89" s="13" t="s">
        <v>408</v>
      </c>
      <c r="S89" s="13" t="s">
        <v>409</v>
      </c>
    </row>
    <row r="90" spans="1:19">
      <c r="A90">
        <v>89</v>
      </c>
      <c r="B90" s="1" t="s">
        <v>410</v>
      </c>
      <c r="C90" s="5" t="str">
        <f>HYPERLINK(tab_alap[[#This Row],[Link]], "Megnyitás ↗")</f>
        <v>Megnyitás ↗</v>
      </c>
      <c r="D90">
        <v>28</v>
      </c>
      <c r="E90">
        <v>72500</v>
      </c>
      <c r="F90">
        <v>65</v>
      </c>
      <c r="G90" s="4">
        <f>tab_alap[[#This Row],[Ár]]/tab_alap[[#This Row],[Nm]]</f>
        <v>1115.3846153846155</v>
      </c>
      <c r="H9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0" s="3" t="s">
        <v>20</v>
      </c>
      <c r="J90" s="5" t="str">
        <f>HYPERLINK("https://www.google.com/maps/search/?api=1&amp;query=" &amp; tab_alap[[#This Row],[Y]] &amp; "," &amp; tab_alap[[#This Row],[X]], "Megnyitás")</f>
        <v>Megnyitás</v>
      </c>
      <c r="K90" s="15" t="b">
        <v>0</v>
      </c>
      <c r="L90" t="s">
        <v>21</v>
      </c>
      <c r="M90" t="str">
        <f>LEFT(tab_alap[[#This Row],[állapot]],1) &amp; tab_alap[[#This Row],[Térképjelölés]]</f>
        <v>f28</v>
      </c>
      <c r="N90" s="14" t="str">
        <f>_xlfn.XLOOKUP(tab_alap[[#This Row],[azonosito]], Koordinatak[azonosito_1], Koordinatak[X_1], "-")</f>
        <v>25.7981107</v>
      </c>
      <c r="O90" t="str">
        <f>_xlfn.XLOOKUP(tab_alap[[#This Row],[azonosito]], Koordinatak[azonosito_1], Koordinatak[Y_1], "-")</f>
        <v>45.8589646</v>
      </c>
      <c r="Q90" s="13" t="s">
        <v>411</v>
      </c>
      <c r="R90" s="13" t="s">
        <v>412</v>
      </c>
      <c r="S90" s="13" t="s">
        <v>413</v>
      </c>
    </row>
    <row r="91" spans="1:19">
      <c r="A91">
        <v>90</v>
      </c>
      <c r="B91" s="1" t="s">
        <v>414</v>
      </c>
      <c r="C91" s="5" t="str">
        <f>HYPERLINK(tab_alap[[#This Row],[Link]], "Megnyitás ↗")</f>
        <v>Megnyitás ↗</v>
      </c>
      <c r="D91">
        <v>34</v>
      </c>
      <c r="E91">
        <v>72000</v>
      </c>
      <c r="F91">
        <v>80</v>
      </c>
      <c r="G91" s="4">
        <f>tab_alap[[#This Row],[Ár]]/tab_alap[[#This Row],[Nm]]</f>
        <v>900</v>
      </c>
      <c r="H9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1" s="3" t="s">
        <v>161</v>
      </c>
      <c r="J91" s="5" t="str">
        <f>HYPERLINK("https://www.google.com/maps/search/?api=1&amp;query=" &amp; tab_alap[[#This Row],[Y]] &amp; "," &amp; tab_alap[[#This Row],[X]], "Megnyitás")</f>
        <v>Megnyitás</v>
      </c>
      <c r="K91" s="15" t="b">
        <v>0</v>
      </c>
      <c r="L91" t="s">
        <v>63</v>
      </c>
      <c r="M91" t="str">
        <f>LEFT(tab_alap[[#This Row],[állapot]],1) &amp; tab_alap[[#This Row],[Térképjelölés]]</f>
        <v>r34</v>
      </c>
      <c r="N91" s="14" t="str">
        <f>_xlfn.XLOOKUP(tab_alap[[#This Row],[azonosito]], Koordinatak[azonosito_1], Koordinatak[X_1], "-")</f>
        <v>25.8078348</v>
      </c>
      <c r="O91" t="str">
        <f>_xlfn.XLOOKUP(tab_alap[[#This Row],[azonosito]], Koordinatak[azonosito_1], Koordinatak[Y_1], "-")</f>
        <v>45.8634579</v>
      </c>
      <c r="Q91" s="13" t="s">
        <v>415</v>
      </c>
      <c r="R91" s="13" t="s">
        <v>416</v>
      </c>
      <c r="S91" s="13" t="s">
        <v>417</v>
      </c>
    </row>
    <row r="92" spans="1:19">
      <c r="A92">
        <v>91</v>
      </c>
      <c r="B92" s="1" t="s">
        <v>418</v>
      </c>
      <c r="C92" s="5" t="str">
        <f>HYPERLINK(tab_alap[[#This Row],[Link]], "Megnyitás ↗")</f>
        <v>Megnyitás ↗</v>
      </c>
      <c r="D92">
        <v>35</v>
      </c>
      <c r="E92">
        <v>71000</v>
      </c>
      <c r="F92">
        <v>52</v>
      </c>
      <c r="G92" s="4">
        <f>tab_alap[[#This Row],[Ár]]/tab_alap[[#This Row],[Nm]]</f>
        <v>1365.3846153846155</v>
      </c>
      <c r="H9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92" s="3" t="s">
        <v>58</v>
      </c>
      <c r="J92" s="5" t="str">
        <f>HYPERLINK("https://www.google.com/maps/search/?api=1&amp;query=" &amp; tab_alap[[#This Row],[Y]] &amp; "," &amp; tab_alap[[#This Row],[X]], "Megnyitás")</f>
        <v>Megnyitás</v>
      </c>
      <c r="K92" s="15" t="b">
        <v>0</v>
      </c>
      <c r="L92" t="s">
        <v>63</v>
      </c>
      <c r="M92" t="str">
        <f>LEFT(tab_alap[[#This Row],[állapot]],1) &amp; tab_alap[[#This Row],[Térképjelölés]]</f>
        <v>r35</v>
      </c>
      <c r="N92" s="14" t="str">
        <f>_xlfn.XLOOKUP(tab_alap[[#This Row],[azonosito]], Koordinatak[azonosito_1], Koordinatak[X_1], "-")</f>
        <v>25.8087014</v>
      </c>
      <c r="O92" t="str">
        <f>_xlfn.XLOOKUP(tab_alap[[#This Row],[azonosito]], Koordinatak[azonosito_1], Koordinatak[Y_1], "-")</f>
        <v>45.8641193</v>
      </c>
      <c r="Q92" s="13" t="s">
        <v>419</v>
      </c>
      <c r="R92" s="13" t="s">
        <v>420</v>
      </c>
      <c r="S92" s="13" t="s">
        <v>421</v>
      </c>
    </row>
    <row r="93" spans="1:19">
      <c r="A93">
        <v>92</v>
      </c>
      <c r="B93" s="1" t="s">
        <v>422</v>
      </c>
      <c r="C93" s="5" t="str">
        <f>HYPERLINK(tab_alap[[#This Row],[Link]], "Megnyitás ↗")</f>
        <v>Megnyitás ↗</v>
      </c>
      <c r="D93">
        <v>27</v>
      </c>
      <c r="E93">
        <v>70900</v>
      </c>
      <c r="F93">
        <v>68</v>
      </c>
      <c r="G93" s="4">
        <f>tab_alap[[#This Row],[Ár]]/tab_alap[[#This Row],[Nm]]</f>
        <v>1042.6470588235295</v>
      </c>
      <c r="H9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3" s="3" t="s">
        <v>213</v>
      </c>
      <c r="J93" s="5" t="str">
        <f>HYPERLINK("https://www.google.com/maps/search/?api=1&amp;query=" &amp; tab_alap[[#This Row],[Y]] &amp; "," &amp; tab_alap[[#This Row],[X]], "Megnyitás")</f>
        <v>Megnyitás</v>
      </c>
      <c r="K93" s="15" t="b">
        <v>0</v>
      </c>
      <c r="L93" t="s">
        <v>29</v>
      </c>
      <c r="M93" t="str">
        <f>LEFT(tab_alap[[#This Row],[állapot]],1) &amp; tab_alap[[#This Row],[Térképjelölés]]</f>
        <v>j27</v>
      </c>
      <c r="N93" s="14" t="str">
        <f>_xlfn.XLOOKUP(tab_alap[[#This Row],[azonosito]], Koordinatak[azonosito_1], Koordinatak[X_1], "-")</f>
        <v>25.7749406</v>
      </c>
      <c r="O93" t="str">
        <f>_xlfn.XLOOKUP(tab_alap[[#This Row],[azonosito]], Koordinatak[azonosito_1], Koordinatak[Y_1], "-")</f>
        <v>45.8575995</v>
      </c>
      <c r="Q93" s="13" t="s">
        <v>423</v>
      </c>
      <c r="R93" s="13" t="s">
        <v>424</v>
      </c>
      <c r="S93" s="13" t="s">
        <v>425</v>
      </c>
    </row>
    <row r="94" spans="1:19">
      <c r="A94">
        <v>93</v>
      </c>
      <c r="B94" s="1" t="s">
        <v>426</v>
      </c>
      <c r="C94" s="5" t="str">
        <f>HYPERLINK(tab_alap[[#This Row],[Link]], "Megnyitás ↗")</f>
        <v>Megnyitás ↗</v>
      </c>
      <c r="D94">
        <v>36</v>
      </c>
      <c r="E94">
        <v>70000</v>
      </c>
      <c r="F94">
        <v>52</v>
      </c>
      <c r="G94" s="4">
        <f>tab_alap[[#This Row],[Ár]]/tab_alap[[#This Row],[Nm]]</f>
        <v>1346.1538461538462</v>
      </c>
      <c r="H9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94" s="3" t="s">
        <v>161</v>
      </c>
      <c r="J94" s="5" t="str">
        <f>HYPERLINK("https://www.google.com/maps/search/?api=1&amp;query=" &amp; tab_alap[[#This Row],[Y]] &amp; "," &amp; tab_alap[[#This Row],[X]], "Megnyitás")</f>
        <v>Megnyitás</v>
      </c>
      <c r="K94" s="15" t="b">
        <v>0</v>
      </c>
      <c r="L94" t="s">
        <v>63</v>
      </c>
      <c r="M94" t="str">
        <f>LEFT(tab_alap[[#This Row],[állapot]],1) &amp; tab_alap[[#This Row],[Térképjelölés]]</f>
        <v>r36</v>
      </c>
      <c r="N94" s="14" t="str">
        <f>_xlfn.XLOOKUP(tab_alap[[#This Row],[azonosito]], Koordinatak[azonosito_1], Koordinatak[X_1], "-")</f>
        <v>25.8086185</v>
      </c>
      <c r="O94" t="str">
        <f>_xlfn.XLOOKUP(tab_alap[[#This Row],[azonosito]], Koordinatak[azonosito_1], Koordinatak[Y_1], "-")</f>
        <v>45.8630936</v>
      </c>
      <c r="Q94" s="13" t="s">
        <v>427</v>
      </c>
      <c r="R94" s="13" t="s">
        <v>428</v>
      </c>
      <c r="S94" s="13" t="s">
        <v>429</v>
      </c>
    </row>
    <row r="95" spans="1:19">
      <c r="A95">
        <v>94</v>
      </c>
      <c r="B95" s="1" t="s">
        <v>430</v>
      </c>
      <c r="C95" s="5" t="str">
        <f>HYPERLINK(tab_alap[[#This Row],[Link]], "Megnyitás ↗")</f>
        <v>Megnyitás ↗</v>
      </c>
      <c r="D95">
        <v>28</v>
      </c>
      <c r="E95">
        <v>69900</v>
      </c>
      <c r="F95">
        <v>50</v>
      </c>
      <c r="G95" s="4">
        <f>tab_alap[[#This Row],[Ár]]/tab_alap[[#This Row],[Nm]]</f>
        <v>1398</v>
      </c>
      <c r="H9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95" s="3" t="s">
        <v>130</v>
      </c>
      <c r="J95" s="5" t="str">
        <f>HYPERLINK("https://www.google.com/maps/search/?api=1&amp;query=" &amp; tab_alap[[#This Row],[Y]] &amp; "," &amp; tab_alap[[#This Row],[X]], "Megnyitás")</f>
        <v>Megnyitás</v>
      </c>
      <c r="K95" s="15" t="b">
        <v>0</v>
      </c>
      <c r="L95" t="s">
        <v>29</v>
      </c>
      <c r="M95" t="str">
        <f>LEFT(tab_alap[[#This Row],[állapot]],1) &amp; tab_alap[[#This Row],[Térképjelölés]]</f>
        <v>j28</v>
      </c>
      <c r="N95" s="14" t="str">
        <f>_xlfn.XLOOKUP(tab_alap[[#This Row],[azonosito]], Koordinatak[azonosito_1], Koordinatak[X_1], "-")</f>
        <v>25.7946121</v>
      </c>
      <c r="O95" t="str">
        <f>_xlfn.XLOOKUP(tab_alap[[#This Row],[azonosito]], Koordinatak[azonosito_1], Koordinatak[Y_1], "-")</f>
        <v>45.868492</v>
      </c>
      <c r="Q95" s="13" t="s">
        <v>431</v>
      </c>
      <c r="R95" s="13" t="s">
        <v>432</v>
      </c>
      <c r="S95" s="13" t="s">
        <v>433</v>
      </c>
    </row>
    <row r="96" spans="1:19">
      <c r="A96">
        <v>95</v>
      </c>
      <c r="B96" s="1" t="s">
        <v>434</v>
      </c>
      <c r="C96" s="5" t="str">
        <f>HYPERLINK(tab_alap[[#This Row],[Link]], "Megnyitás ↗")</f>
        <v>Megnyitás ↗</v>
      </c>
      <c r="D96">
        <v>37</v>
      </c>
      <c r="E96">
        <v>69900</v>
      </c>
      <c r="F96">
        <v>60.1</v>
      </c>
      <c r="G96" s="4">
        <f>tab_alap[[#This Row],[Ár]]/tab_alap[[#This Row],[Nm]]</f>
        <v>1163.0615640599001</v>
      </c>
      <c r="H9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6" s="3" t="s">
        <v>130</v>
      </c>
      <c r="J96" s="5" t="str">
        <f>HYPERLINK("https://www.google.com/maps/search/?api=1&amp;query=" &amp; tab_alap[[#This Row],[Y]] &amp; "," &amp; tab_alap[[#This Row],[X]], "Megnyitás")</f>
        <v>Megnyitás</v>
      </c>
      <c r="K96" s="15" t="b">
        <v>0</v>
      </c>
      <c r="L96" t="s">
        <v>63</v>
      </c>
      <c r="M96" t="str">
        <f>LEFT(tab_alap[[#This Row],[állapot]],1) &amp; tab_alap[[#This Row],[Térképjelölés]]</f>
        <v>r37</v>
      </c>
      <c r="N96" s="14" t="str">
        <f>_xlfn.XLOOKUP(tab_alap[[#This Row],[azonosito]], Koordinatak[azonosito_1], Koordinatak[X_1], "-")</f>
        <v>25.7774423</v>
      </c>
      <c r="O96" t="str">
        <f>_xlfn.XLOOKUP(tab_alap[[#This Row],[azonosito]], Koordinatak[azonosito_1], Koordinatak[Y_1], "-")</f>
        <v>45.8574157</v>
      </c>
      <c r="Q96" s="13" t="s">
        <v>435</v>
      </c>
      <c r="R96" s="13" t="s">
        <v>436</v>
      </c>
      <c r="S96" s="13" t="s">
        <v>437</v>
      </c>
    </row>
    <row r="97" spans="1:19">
      <c r="A97">
        <v>96</v>
      </c>
      <c r="B97" s="1" t="s">
        <v>438</v>
      </c>
      <c r="C97" s="5" t="str">
        <f>HYPERLINK(tab_alap[[#This Row],[Link]], "Megnyitás ↗")</f>
        <v>Megnyitás ↗</v>
      </c>
      <c r="D97">
        <v>29</v>
      </c>
      <c r="E97">
        <v>69800</v>
      </c>
      <c r="F97">
        <v>61.2</v>
      </c>
      <c r="G97" s="4">
        <f>tab_alap[[#This Row],[Ár]]/tab_alap[[#This Row],[Nm]]</f>
        <v>1140.5228758169935</v>
      </c>
      <c r="H9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7" s="3" t="s">
        <v>20</v>
      </c>
      <c r="J97" s="5" t="str">
        <f>HYPERLINK("https://www.google.com/maps/search/?api=1&amp;query=" &amp; tab_alap[[#This Row],[Y]] &amp; "," &amp; tab_alap[[#This Row],[X]], "Megnyitás")</f>
        <v>Megnyitás</v>
      </c>
      <c r="K97" s="15" t="b">
        <v>0</v>
      </c>
      <c r="L97" t="s">
        <v>21</v>
      </c>
      <c r="M97" t="str">
        <f>LEFT(tab_alap[[#This Row],[állapot]],1) &amp; tab_alap[[#This Row],[Térképjelölés]]</f>
        <v>f29</v>
      </c>
      <c r="N97" s="14" t="str">
        <f>_xlfn.XLOOKUP(tab_alap[[#This Row],[azonosito]], Koordinatak[azonosito_1], Koordinatak[X_1], "-")</f>
        <v>25.7779503</v>
      </c>
      <c r="O97" t="str">
        <f>_xlfn.XLOOKUP(tab_alap[[#This Row],[azonosito]], Koordinatak[azonosito_1], Koordinatak[Y_1], "-")</f>
        <v>45.8576097</v>
      </c>
      <c r="Q97" s="13" t="s">
        <v>439</v>
      </c>
      <c r="R97" s="13" t="s">
        <v>440</v>
      </c>
      <c r="S97" s="13" t="s">
        <v>441</v>
      </c>
    </row>
    <row r="98" spans="1:19">
      <c r="A98">
        <v>97</v>
      </c>
      <c r="B98" s="1" t="s">
        <v>442</v>
      </c>
      <c r="C98" s="5" t="str">
        <f>HYPERLINK(tab_alap[[#This Row],[Link]], "Megnyitás ↗")</f>
        <v>Megnyitás ↗</v>
      </c>
      <c r="D98">
        <v>30</v>
      </c>
      <c r="E98">
        <v>69500</v>
      </c>
      <c r="F98">
        <v>72</v>
      </c>
      <c r="G98" s="4">
        <f>tab_alap[[#This Row],[Ár]]/tab_alap[[#This Row],[Nm]]</f>
        <v>965.27777777777783</v>
      </c>
      <c r="H9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98" s="3" t="s">
        <v>405</v>
      </c>
      <c r="J98" s="5" t="str">
        <f>HYPERLINK("https://www.google.com/maps/search/?api=1&amp;query=" &amp; tab_alap[[#This Row],[Y]] &amp; "," &amp; tab_alap[[#This Row],[X]], "Megnyitás")</f>
        <v>Megnyitás</v>
      </c>
      <c r="K98" s="15" t="b">
        <v>0</v>
      </c>
      <c r="L98" t="s">
        <v>406</v>
      </c>
      <c r="M98" t="str">
        <f>LEFT(tab_alap[[#This Row],[állapot]],1) &amp; tab_alap[[#This Row],[Térképjelölés]]</f>
        <v>f30</v>
      </c>
      <c r="N98" s="14" t="str">
        <f>_xlfn.XLOOKUP(tab_alap[[#This Row],[azonosito]], Koordinatak[azonosito_1], Koordinatak[X_1], "-")</f>
        <v>25.774572</v>
      </c>
      <c r="O98" t="str">
        <f>_xlfn.XLOOKUP(tab_alap[[#This Row],[azonosito]], Koordinatak[azonosito_1], Koordinatak[Y_1], "-")</f>
        <v>45.8576988</v>
      </c>
      <c r="P98" t="s">
        <v>443</v>
      </c>
      <c r="Q98" s="13" t="s">
        <v>444</v>
      </c>
      <c r="R98" s="13" t="s">
        <v>445</v>
      </c>
      <c r="S98" s="13" t="s">
        <v>446</v>
      </c>
    </row>
    <row r="99" spans="1:19">
      <c r="A99">
        <v>98</v>
      </c>
      <c r="B99" s="1" t="s">
        <v>447</v>
      </c>
      <c r="C99" s="5" t="str">
        <f>HYPERLINK(tab_alap[[#This Row],[Link]], "Megnyitás ↗")</f>
        <v>Megnyitás ↗</v>
      </c>
      <c r="D99">
        <v>38</v>
      </c>
      <c r="E99">
        <v>69000</v>
      </c>
      <c r="F99">
        <v>47</v>
      </c>
      <c r="G99" s="4">
        <f>tab_alap[[#This Row],[Ár]]/tab_alap[[#This Row],[Nm]]</f>
        <v>1468.0851063829787</v>
      </c>
      <c r="H9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99" s="3" t="s">
        <v>20</v>
      </c>
      <c r="J99" s="5" t="str">
        <f>HYPERLINK("https://www.google.com/maps/search/?api=1&amp;query=" &amp; tab_alap[[#This Row],[Y]] &amp; "," &amp; tab_alap[[#This Row],[X]], "Megnyitás")</f>
        <v>Megnyitás</v>
      </c>
      <c r="K99" s="15" t="b">
        <v>0</v>
      </c>
      <c r="L99" t="s">
        <v>63</v>
      </c>
      <c r="M99" t="str">
        <f>LEFT(tab_alap[[#This Row],[állapot]],1) &amp; tab_alap[[#This Row],[Térképjelölés]]</f>
        <v>r38</v>
      </c>
      <c r="N99" s="14" t="str">
        <f>_xlfn.XLOOKUP(tab_alap[[#This Row],[azonosito]], Koordinatak[azonosito_1], Koordinatak[X_1], "-")</f>
        <v>25.795574</v>
      </c>
      <c r="O99" t="str">
        <f>_xlfn.XLOOKUP(tab_alap[[#This Row],[azonosito]], Koordinatak[azonosito_1], Koordinatak[Y_1], "-")</f>
        <v>45.8675456</v>
      </c>
      <c r="Q99" s="13" t="s">
        <v>448</v>
      </c>
      <c r="R99" s="13" t="s">
        <v>449</v>
      </c>
      <c r="S99" s="13" t="s">
        <v>450</v>
      </c>
    </row>
    <row r="100" spans="1:19">
      <c r="A100">
        <v>99</v>
      </c>
      <c r="B100" s="1" t="s">
        <v>451</v>
      </c>
      <c r="C100" s="5" t="str">
        <f>HYPERLINK(tab_alap[[#This Row],[Link]], "Megnyitás ↗")</f>
        <v>Megnyitás ↗</v>
      </c>
      <c r="D100">
        <v>29</v>
      </c>
      <c r="E100">
        <v>68900</v>
      </c>
      <c r="F100">
        <v>50</v>
      </c>
      <c r="G100" s="4">
        <f>tab_alap[[#This Row],[Ár]]/tab_alap[[#This Row],[Nm]]</f>
        <v>1378</v>
      </c>
      <c r="H10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0" s="3" t="s">
        <v>20</v>
      </c>
      <c r="J100" s="5" t="str">
        <f>HYPERLINK("https://www.google.com/maps/search/?api=1&amp;query=" &amp; tab_alap[[#This Row],[Y]] &amp; "," &amp; tab_alap[[#This Row],[X]], "Megnyitás")</f>
        <v>Megnyitás</v>
      </c>
      <c r="K100" s="15" t="b">
        <v>0</v>
      </c>
      <c r="L100" t="s">
        <v>29</v>
      </c>
      <c r="M100" t="str">
        <f>LEFT(tab_alap[[#This Row],[állapot]],1) &amp; tab_alap[[#This Row],[Térképjelölés]]</f>
        <v>j29</v>
      </c>
      <c r="N100" s="14" t="str">
        <f>_xlfn.XLOOKUP(tab_alap[[#This Row],[azonosito]], Koordinatak[azonosito_1], Koordinatak[X_1], "-")</f>
        <v>25.7924806</v>
      </c>
      <c r="O100" t="str">
        <f>_xlfn.XLOOKUP(tab_alap[[#This Row],[azonosito]], Koordinatak[azonosito_1], Koordinatak[Y_1], "-")</f>
        <v>45.8575453</v>
      </c>
      <c r="Q100" s="13" t="s">
        <v>452</v>
      </c>
      <c r="R100" s="13" t="s">
        <v>453</v>
      </c>
      <c r="S100" s="13" t="s">
        <v>454</v>
      </c>
    </row>
    <row r="101" spans="1:19">
      <c r="A101">
        <v>100</v>
      </c>
      <c r="B101" s="1" t="s">
        <v>455</v>
      </c>
      <c r="C101" s="5" t="str">
        <f>HYPERLINK(tab_alap[[#This Row],[Link]], "Megnyitás ↗")</f>
        <v>Megnyitás ↗</v>
      </c>
      <c r="D101">
        <v>31</v>
      </c>
      <c r="E101">
        <v>68800</v>
      </c>
      <c r="F101">
        <v>52</v>
      </c>
      <c r="G101" s="4">
        <f>tab_alap[[#This Row],[Ár]]/tab_alap[[#This Row],[Nm]]</f>
        <v>1323.0769230769231</v>
      </c>
      <c r="H10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1" s="3" t="s">
        <v>236</v>
      </c>
      <c r="J101" s="5" t="str">
        <f>HYPERLINK("https://www.google.com/maps/search/?api=1&amp;query=" &amp; tab_alap[[#This Row],[Y]] &amp; "," &amp; tab_alap[[#This Row],[X]], "Megnyitás")</f>
        <v>Megnyitás</v>
      </c>
      <c r="K101" s="15" t="b">
        <v>0</v>
      </c>
      <c r="L101" t="s">
        <v>21</v>
      </c>
      <c r="M101" t="str">
        <f>LEFT(tab_alap[[#This Row],[állapot]],1) &amp; tab_alap[[#This Row],[Térképjelölés]]</f>
        <v>f31</v>
      </c>
      <c r="N101" s="14" t="str">
        <f>_xlfn.XLOOKUP(tab_alap[[#This Row],[azonosito]], Koordinatak[azonosito_1], Koordinatak[X_1], "-")</f>
        <v>25.7763439</v>
      </c>
      <c r="O101" t="str">
        <f>_xlfn.XLOOKUP(tab_alap[[#This Row],[azonosito]], Koordinatak[azonosito_1], Koordinatak[Y_1], "-")</f>
        <v>45.8583253</v>
      </c>
      <c r="Q101" s="13" t="s">
        <v>456</v>
      </c>
      <c r="R101" s="13" t="s">
        <v>457</v>
      </c>
      <c r="S101" s="13" t="s">
        <v>458</v>
      </c>
    </row>
    <row r="102" spans="1:19">
      <c r="A102">
        <v>101</v>
      </c>
      <c r="B102" s="1" t="s">
        <v>459</v>
      </c>
      <c r="C102" s="5" t="str">
        <f>HYPERLINK(tab_alap[[#This Row],[Link]], "Megnyitás ↗")</f>
        <v>Megnyitás ↗</v>
      </c>
      <c r="D102">
        <v>39</v>
      </c>
      <c r="E102">
        <v>68500</v>
      </c>
      <c r="F102">
        <v>51</v>
      </c>
      <c r="G102" s="4">
        <f>tab_alap[[#This Row],[Ár]]/tab_alap[[#This Row],[Nm]]</f>
        <v>1343.1372549019609</v>
      </c>
      <c r="H10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2" s="3" t="s">
        <v>20</v>
      </c>
      <c r="J102" s="5" t="str">
        <f>HYPERLINK("https://www.google.com/maps/search/?api=1&amp;query=" &amp; tab_alap[[#This Row],[Y]] &amp; "," &amp; tab_alap[[#This Row],[X]], "Megnyitás")</f>
        <v>Megnyitás</v>
      </c>
      <c r="K102" s="15" t="b">
        <v>0</v>
      </c>
      <c r="L102" t="s">
        <v>63</v>
      </c>
      <c r="M102" t="str">
        <f>LEFT(tab_alap[[#This Row],[állapot]],1) &amp; tab_alap[[#This Row],[Térképjelölés]]</f>
        <v>r39</v>
      </c>
      <c r="N102" s="14" t="str">
        <f>_xlfn.XLOOKUP(tab_alap[[#This Row],[azonosito]], Koordinatak[azonosito_1], Koordinatak[X_1], "-")</f>
        <v>25.7987929</v>
      </c>
      <c r="O102" t="str">
        <f>_xlfn.XLOOKUP(tab_alap[[#This Row],[azonosito]], Koordinatak[azonosito_1], Koordinatak[Y_1], "-")</f>
        <v>45.865062</v>
      </c>
      <c r="Q102" s="13" t="s">
        <v>460</v>
      </c>
      <c r="R102" s="13" t="s">
        <v>461</v>
      </c>
      <c r="S102" s="13" t="s">
        <v>462</v>
      </c>
    </row>
    <row r="103" spans="1:19">
      <c r="A103">
        <v>102</v>
      </c>
      <c r="B103" s="1" t="s">
        <v>463</v>
      </c>
      <c r="C103" s="5" t="str">
        <f>HYPERLINK(tab_alap[[#This Row],[Link]], "Megnyitás ↗")</f>
        <v>Megnyitás ↗</v>
      </c>
      <c r="D103">
        <v>30</v>
      </c>
      <c r="E103">
        <v>68000</v>
      </c>
      <c r="F103">
        <v>68</v>
      </c>
      <c r="G103" s="4">
        <f>tab_alap[[#This Row],[Ár]]/tab_alap[[#This Row],[Nm]]</f>
        <v>1000</v>
      </c>
      <c r="H10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3" s="3" t="s">
        <v>20</v>
      </c>
      <c r="J103" s="5" t="str">
        <f>HYPERLINK("https://www.google.com/maps/search/?api=1&amp;query=" &amp; tab_alap[[#This Row],[Y]] &amp; "," &amp; tab_alap[[#This Row],[X]], "Megnyitás")</f>
        <v>Megnyitás</v>
      </c>
      <c r="K103" s="15" t="b">
        <v>0</v>
      </c>
      <c r="L103" t="s">
        <v>29</v>
      </c>
      <c r="M103" t="str">
        <f>LEFT(tab_alap[[#This Row],[állapot]],1) &amp; tab_alap[[#This Row],[Térképjelölés]]</f>
        <v>j30</v>
      </c>
      <c r="N103" s="14" t="str">
        <f>_xlfn.XLOOKUP(tab_alap[[#This Row],[azonosito]], Koordinatak[azonosito_1], Koordinatak[X_1], "-")</f>
        <v>25.8017112</v>
      </c>
      <c r="O103" t="str">
        <f>_xlfn.XLOOKUP(tab_alap[[#This Row],[azonosito]], Koordinatak[azonosito_1], Koordinatak[Y_1], "-")</f>
        <v>45.8622537</v>
      </c>
      <c r="Q103" s="13" t="s">
        <v>464</v>
      </c>
      <c r="R103" s="13" t="s">
        <v>465</v>
      </c>
      <c r="S103" s="13" t="s">
        <v>466</v>
      </c>
    </row>
    <row r="104" spans="1:19">
      <c r="A104">
        <v>103</v>
      </c>
      <c r="B104" s="1" t="s">
        <v>467</v>
      </c>
      <c r="C104" s="5" t="str">
        <f>HYPERLINK(tab_alap[[#This Row],[Link]], "Megnyitás ↗")</f>
        <v>Megnyitás ↗</v>
      </c>
      <c r="D104">
        <v>32</v>
      </c>
      <c r="E104">
        <v>68000</v>
      </c>
      <c r="F104">
        <v>48</v>
      </c>
      <c r="G104" s="4">
        <f>tab_alap[[#This Row],[Ár]]/tab_alap[[#This Row],[Nm]]</f>
        <v>1416.6666666666667</v>
      </c>
      <c r="H10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4" s="3" t="s">
        <v>236</v>
      </c>
      <c r="J104" s="5" t="str">
        <f>HYPERLINK("https://www.google.com/maps/search/?api=1&amp;query=" &amp; tab_alap[[#This Row],[Y]] &amp; "," &amp; tab_alap[[#This Row],[X]], "Megnyitás")</f>
        <v>Megnyitás</v>
      </c>
      <c r="K104" s="15" t="b">
        <v>0</v>
      </c>
      <c r="L104" t="s">
        <v>21</v>
      </c>
      <c r="M104" t="str">
        <f>LEFT(tab_alap[[#This Row],[állapot]],1) &amp; tab_alap[[#This Row],[Térképjelölés]]</f>
        <v>f32</v>
      </c>
      <c r="N104" s="14" t="str">
        <f>_xlfn.XLOOKUP(tab_alap[[#This Row],[azonosito]], Koordinatak[azonosito_1], Koordinatak[X_1], "-")</f>
        <v>25.7753419</v>
      </c>
      <c r="O104" t="str">
        <f>_xlfn.XLOOKUP(tab_alap[[#This Row],[azonosito]], Koordinatak[azonosito_1], Koordinatak[Y_1], "-")</f>
        <v>45.8588751</v>
      </c>
      <c r="Q104" s="13" t="s">
        <v>468</v>
      </c>
      <c r="R104" s="13" t="s">
        <v>469</v>
      </c>
      <c r="S104" s="13" t="s">
        <v>470</v>
      </c>
    </row>
    <row r="105" spans="1:19">
      <c r="A105">
        <v>104</v>
      </c>
      <c r="B105" s="1" t="s">
        <v>471</v>
      </c>
      <c r="C105" s="5" t="str">
        <f>HYPERLINK(tab_alap[[#This Row],[Link]], "Megnyitás ↗")</f>
        <v>Megnyitás ↗</v>
      </c>
      <c r="D105">
        <v>40</v>
      </c>
      <c r="E105">
        <v>67800</v>
      </c>
      <c r="F105">
        <v>52</v>
      </c>
      <c r="G105" s="4">
        <f>tab_alap[[#This Row],[Ár]]/tab_alap[[#This Row],[Nm]]</f>
        <v>1303.8461538461538</v>
      </c>
      <c r="H10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5" s="3" t="s">
        <v>472</v>
      </c>
      <c r="J105" s="5" t="str">
        <f>HYPERLINK("https://www.google.com/maps/search/?api=1&amp;query=" &amp; tab_alap[[#This Row],[Y]] &amp; "," &amp; tab_alap[[#This Row],[X]], "Megnyitás")</f>
        <v>Megnyitás</v>
      </c>
      <c r="K105" s="15" t="b">
        <v>0</v>
      </c>
      <c r="L105" t="s">
        <v>63</v>
      </c>
      <c r="M105" t="str">
        <f>LEFT(tab_alap[[#This Row],[állapot]],1) &amp; tab_alap[[#This Row],[Térképjelölés]]</f>
        <v>r40</v>
      </c>
      <c r="N105" s="14" t="str">
        <f>_xlfn.XLOOKUP(tab_alap[[#This Row],[azonosito]], Koordinatak[azonosito_1], Koordinatak[X_1], "-")</f>
        <v>25.7764415</v>
      </c>
      <c r="O105" t="str">
        <f>_xlfn.XLOOKUP(tab_alap[[#This Row],[azonosito]], Koordinatak[azonosito_1], Koordinatak[Y_1], "-")</f>
        <v>45.8583988</v>
      </c>
      <c r="Q105" s="13" t="s">
        <v>473</v>
      </c>
      <c r="R105" s="13" t="s">
        <v>474</v>
      </c>
      <c r="S105" s="13" t="s">
        <v>475</v>
      </c>
    </row>
    <row r="106" spans="1:19">
      <c r="A106">
        <v>105</v>
      </c>
      <c r="B106" s="1" t="s">
        <v>476</v>
      </c>
      <c r="C106" s="5" t="str">
        <f>HYPERLINK(tab_alap[[#This Row],[Link]], "Megnyitás ↗")</f>
        <v>Megnyitás ↗</v>
      </c>
      <c r="D106">
        <v>33</v>
      </c>
      <c r="E106">
        <v>67000</v>
      </c>
      <c r="F106">
        <v>50</v>
      </c>
      <c r="G106" s="4">
        <f>tab_alap[[#This Row],[Ár]]/tab_alap[[#This Row],[Nm]]</f>
        <v>1340</v>
      </c>
      <c r="H10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6" s="3" t="s">
        <v>76</v>
      </c>
      <c r="J106" s="5" t="str">
        <f>HYPERLINK("https://www.google.com/maps/search/?api=1&amp;query=" &amp; tab_alap[[#This Row],[Y]] &amp; "," &amp; tab_alap[[#This Row],[X]], "Megnyitás")</f>
        <v>Megnyitás</v>
      </c>
      <c r="K106" s="15" t="b">
        <v>0</v>
      </c>
      <c r="L106" t="s">
        <v>21</v>
      </c>
      <c r="M106" t="str">
        <f>LEFT(tab_alap[[#This Row],[állapot]],1) &amp; tab_alap[[#This Row],[Térképjelölés]]</f>
        <v>f33</v>
      </c>
      <c r="N106" s="14" t="str">
        <f>_xlfn.XLOOKUP(tab_alap[[#This Row],[azonosito]], Koordinatak[azonosito_1], Koordinatak[X_1], "-")</f>
        <v>25.7773669</v>
      </c>
      <c r="O106" t="str">
        <f>_xlfn.XLOOKUP(tab_alap[[#This Row],[azonosito]], Koordinatak[azonosito_1], Koordinatak[Y_1], "-")</f>
        <v>45.8611106</v>
      </c>
      <c r="Q106" s="13" t="s">
        <v>477</v>
      </c>
      <c r="R106" s="13" t="s">
        <v>478</v>
      </c>
      <c r="S106" s="13" t="s">
        <v>479</v>
      </c>
    </row>
    <row r="107" spans="1:19">
      <c r="A107">
        <v>106</v>
      </c>
      <c r="B107" s="1" t="s">
        <v>480</v>
      </c>
      <c r="C107" s="5" t="str">
        <f>HYPERLINK(tab_alap[[#This Row],[Link]], "Megnyitás ↗")</f>
        <v>Megnyitás ↗</v>
      </c>
      <c r="D107">
        <v>34</v>
      </c>
      <c r="E107">
        <v>67000</v>
      </c>
      <c r="F107">
        <v>50</v>
      </c>
      <c r="G107" s="4">
        <f>tab_alap[[#This Row],[Ár]]/tab_alap[[#This Row],[Nm]]</f>
        <v>1340</v>
      </c>
      <c r="H10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7" s="3" t="s">
        <v>213</v>
      </c>
      <c r="J107" s="5" t="str">
        <f>HYPERLINK("https://www.google.com/maps/search/?api=1&amp;query=" &amp; tab_alap[[#This Row],[Y]] &amp; "," &amp; tab_alap[[#This Row],[X]], "Megnyitás")</f>
        <v>Megnyitás</v>
      </c>
      <c r="K107" s="15" t="b">
        <v>0</v>
      </c>
      <c r="L107" t="s">
        <v>21</v>
      </c>
      <c r="M107" t="str">
        <f>LEFT(tab_alap[[#This Row],[állapot]],1) &amp; tab_alap[[#This Row],[Térképjelölés]]</f>
        <v>f34</v>
      </c>
      <c r="N107" s="14" t="str">
        <f>_xlfn.XLOOKUP(tab_alap[[#This Row],[azonosito]], Koordinatak[azonosito_1], Koordinatak[X_1], "-")</f>
        <v>25.7764458</v>
      </c>
      <c r="O107" t="str">
        <f>_xlfn.XLOOKUP(tab_alap[[#This Row],[azonosito]], Koordinatak[azonosito_1], Koordinatak[Y_1], "-")</f>
        <v>45.858813</v>
      </c>
      <c r="Q107" s="13" t="s">
        <v>481</v>
      </c>
      <c r="R107" s="13" t="s">
        <v>482</v>
      </c>
      <c r="S107" s="13" t="s">
        <v>483</v>
      </c>
    </row>
    <row r="108" spans="1:19">
      <c r="A108">
        <v>107</v>
      </c>
      <c r="B108" s="1" t="s">
        <v>484</v>
      </c>
      <c r="C108" s="5" t="str">
        <f>HYPERLINK(tab_alap[[#This Row],[Link]], "Megnyitás ↗")</f>
        <v>Megnyitás ↗</v>
      </c>
      <c r="D108">
        <v>35</v>
      </c>
      <c r="E108">
        <v>67000</v>
      </c>
      <c r="F108">
        <v>62.2</v>
      </c>
      <c r="G108" s="4">
        <f>tab_alap[[#This Row],[Ár]]/tab_alap[[#This Row],[Nm]]</f>
        <v>1077.1704180064307</v>
      </c>
      <c r="H10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08" s="3" t="s">
        <v>20</v>
      </c>
      <c r="J108" s="5" t="str">
        <f>HYPERLINK("https://www.google.com/maps/search/?api=1&amp;query=" &amp; tab_alap[[#This Row],[Y]] &amp; "," &amp; tab_alap[[#This Row],[X]], "Megnyitás")</f>
        <v>Megnyitás</v>
      </c>
      <c r="K108" s="15" t="b">
        <v>0</v>
      </c>
      <c r="L108" t="s">
        <v>406</v>
      </c>
      <c r="M108" t="str">
        <f>LEFT(tab_alap[[#This Row],[állapot]],1) &amp; tab_alap[[#This Row],[Térképjelölés]]</f>
        <v>f35</v>
      </c>
      <c r="N108" s="14" t="str">
        <f>_xlfn.XLOOKUP(tab_alap[[#This Row],[azonosito]], Koordinatak[azonosito_1], Koordinatak[X_1], "-")</f>
        <v>25.776871</v>
      </c>
      <c r="O108" t="str">
        <f>_xlfn.XLOOKUP(tab_alap[[#This Row],[azonosito]], Koordinatak[azonosito_1], Koordinatak[Y_1], "-")</f>
        <v>45.8611504</v>
      </c>
      <c r="Q108" s="13" t="s">
        <v>485</v>
      </c>
      <c r="R108" s="13" t="s">
        <v>486</v>
      </c>
      <c r="S108" s="13" t="s">
        <v>487</v>
      </c>
    </row>
    <row r="109" spans="1:19">
      <c r="A109">
        <v>108</v>
      </c>
      <c r="B109" s="1" t="s">
        <v>488</v>
      </c>
      <c r="C109" s="5" t="str">
        <f>HYPERLINK(tab_alap[[#This Row],[Link]], "Megnyitás ↗")</f>
        <v>Megnyitás ↗</v>
      </c>
      <c r="D109">
        <v>31</v>
      </c>
      <c r="E109">
        <v>66000</v>
      </c>
      <c r="F109">
        <v>54</v>
      </c>
      <c r="G109" s="4">
        <f>tab_alap[[#This Row],[Ár]]/tab_alap[[#This Row],[Nm]]</f>
        <v>1222.2222222222222</v>
      </c>
      <c r="H10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09" s="3" t="s">
        <v>130</v>
      </c>
      <c r="J109" s="5" t="str">
        <f>HYPERLINK("https://www.google.com/maps/search/?api=1&amp;query=" &amp; tab_alap[[#This Row],[Y]] &amp; "," &amp; tab_alap[[#This Row],[X]], "Megnyitás")</f>
        <v>Megnyitás</v>
      </c>
      <c r="K109" s="15" t="b">
        <v>0</v>
      </c>
      <c r="L109" t="s">
        <v>29</v>
      </c>
      <c r="M109" t="str">
        <f>LEFT(tab_alap[[#This Row],[állapot]],1) &amp; tab_alap[[#This Row],[Térképjelölés]]</f>
        <v>j31</v>
      </c>
      <c r="N109" s="14" t="str">
        <f>_xlfn.XLOOKUP(tab_alap[[#This Row],[azonosito]], Koordinatak[azonosito_1], Koordinatak[X_1], "-")</f>
        <v>25.77868</v>
      </c>
      <c r="O109" t="str">
        <f>_xlfn.XLOOKUP(tab_alap[[#This Row],[azonosito]], Koordinatak[azonosito_1], Koordinatak[Y_1], "-")</f>
        <v>45.8577051</v>
      </c>
      <c r="Q109" s="13" t="s">
        <v>489</v>
      </c>
      <c r="R109" s="13" t="s">
        <v>490</v>
      </c>
      <c r="S109" s="13" t="s">
        <v>491</v>
      </c>
    </row>
    <row r="110" spans="1:19">
      <c r="A110">
        <v>109</v>
      </c>
      <c r="B110" s="1" t="s">
        <v>492</v>
      </c>
      <c r="C110" s="5" t="str">
        <f>HYPERLINK(tab_alap[[#This Row],[Link]], "Megnyitás ↗")</f>
        <v>Megnyitás ↗</v>
      </c>
      <c r="D110">
        <v>36</v>
      </c>
      <c r="E110">
        <v>66000</v>
      </c>
      <c r="F110">
        <v>52</v>
      </c>
      <c r="G110" s="4">
        <f>tab_alap[[#This Row],[Ár]]/tab_alap[[#This Row],[Nm]]</f>
        <v>1269.2307692307693</v>
      </c>
      <c r="H11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0" s="3" t="s">
        <v>28</v>
      </c>
      <c r="J110" s="5" t="str">
        <f>HYPERLINK("https://www.google.com/maps/search/?api=1&amp;query=" &amp; tab_alap[[#This Row],[Y]] &amp; "," &amp; tab_alap[[#This Row],[X]], "Megnyitás")</f>
        <v>Megnyitás</v>
      </c>
      <c r="K110" s="15" t="b">
        <v>0</v>
      </c>
      <c r="L110" t="s">
        <v>406</v>
      </c>
      <c r="M110" t="str">
        <f>LEFT(tab_alap[[#This Row],[állapot]],1) &amp; tab_alap[[#This Row],[Térképjelölés]]</f>
        <v>f36</v>
      </c>
      <c r="N110" s="14" t="str">
        <f>_xlfn.XLOOKUP(tab_alap[[#This Row],[azonosito]], Koordinatak[azonosito_1], Koordinatak[X_1], "-")</f>
        <v>25.7953089</v>
      </c>
      <c r="O110" t="str">
        <f>_xlfn.XLOOKUP(tab_alap[[#This Row],[azonosito]], Koordinatak[azonosito_1], Koordinatak[Y_1], "-")</f>
        <v>45.862936</v>
      </c>
      <c r="Q110" s="13" t="s">
        <v>493</v>
      </c>
      <c r="R110" s="13" t="s">
        <v>494</v>
      </c>
      <c r="S110" s="13" t="s">
        <v>495</v>
      </c>
    </row>
    <row r="111" spans="1:19">
      <c r="A111">
        <v>110</v>
      </c>
      <c r="B111" s="1" t="s">
        <v>496</v>
      </c>
      <c r="C111" s="5" t="str">
        <f>HYPERLINK(tab_alap[[#This Row],[Link]], "Megnyitás ↗")</f>
        <v>Megnyitás ↗</v>
      </c>
      <c r="D111">
        <v>41</v>
      </c>
      <c r="E111">
        <v>65500</v>
      </c>
      <c r="F111">
        <v>50.36</v>
      </c>
      <c r="G111" s="4">
        <f>tab_alap[[#This Row],[Ár]]/tab_alap[[#This Row],[Nm]]</f>
        <v>1300.6354249404289</v>
      </c>
      <c r="H11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1" s="3" t="s">
        <v>20</v>
      </c>
      <c r="J111" s="5" t="str">
        <f>HYPERLINK("https://www.google.com/maps/search/?api=1&amp;query=" &amp; tab_alap[[#This Row],[Y]] &amp; "," &amp; tab_alap[[#This Row],[X]], "Megnyitás")</f>
        <v>Megnyitás</v>
      </c>
      <c r="K111" s="15" t="b">
        <v>0</v>
      </c>
      <c r="L111" t="s">
        <v>63</v>
      </c>
      <c r="M111" t="str">
        <f>LEFT(tab_alap[[#This Row],[állapot]],1) &amp; tab_alap[[#This Row],[Térképjelölés]]</f>
        <v>r41</v>
      </c>
      <c r="N111" s="14" t="str">
        <f>_xlfn.XLOOKUP(tab_alap[[#This Row],[azonosito]], Koordinatak[azonosito_1], Koordinatak[X_1], "-")</f>
        <v>25.7985801</v>
      </c>
      <c r="O111" t="str">
        <f>_xlfn.XLOOKUP(tab_alap[[#This Row],[azonosito]], Koordinatak[azonosito_1], Koordinatak[Y_1], "-")</f>
        <v>45.8588174</v>
      </c>
      <c r="Q111" s="13" t="s">
        <v>497</v>
      </c>
      <c r="R111" s="13" t="s">
        <v>498</v>
      </c>
      <c r="S111" s="13" t="s">
        <v>499</v>
      </c>
    </row>
    <row r="112" spans="1:19">
      <c r="A112">
        <v>111</v>
      </c>
      <c r="B112" s="1" t="s">
        <v>500</v>
      </c>
      <c r="C112" s="5" t="str">
        <f>HYPERLINK(tab_alap[[#This Row],[Link]], "Megnyitás ↗")</f>
        <v>Megnyitás ↗</v>
      </c>
      <c r="D112">
        <v>37</v>
      </c>
      <c r="E112">
        <v>65500</v>
      </c>
      <c r="F112">
        <v>51</v>
      </c>
      <c r="G112" s="4">
        <f>tab_alap[[#This Row],[Ár]]/tab_alap[[#This Row],[Nm]]</f>
        <v>1284.313725490196</v>
      </c>
      <c r="H11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2" s="3" t="s">
        <v>20</v>
      </c>
      <c r="J112" s="5" t="str">
        <f>HYPERLINK("https://www.google.com/maps/search/?api=1&amp;query=" &amp; tab_alap[[#This Row],[Y]] &amp; "," &amp; tab_alap[[#This Row],[X]], "Megnyitás")</f>
        <v>Megnyitás</v>
      </c>
      <c r="K112" s="15" t="b">
        <v>0</v>
      </c>
      <c r="L112" t="s">
        <v>21</v>
      </c>
      <c r="M112" t="str">
        <f>LEFT(tab_alap[[#This Row],[állapot]],1) &amp; tab_alap[[#This Row],[Térképjelölés]]</f>
        <v>f37</v>
      </c>
      <c r="N112" s="14" t="str">
        <f>_xlfn.XLOOKUP(tab_alap[[#This Row],[azonosito]], Koordinatak[azonosito_1], Koordinatak[X_1], "-")</f>
        <v>25.8089482</v>
      </c>
      <c r="O112" t="str">
        <f>_xlfn.XLOOKUP(tab_alap[[#This Row],[azonosito]], Koordinatak[azonosito_1], Koordinatak[Y_1], "-")</f>
        <v>45.8655127</v>
      </c>
      <c r="Q112" s="13" t="s">
        <v>501</v>
      </c>
      <c r="R112" s="13" t="s">
        <v>502</v>
      </c>
      <c r="S112" s="13" t="s">
        <v>503</v>
      </c>
    </row>
    <row r="113" spans="1:19">
      <c r="A113">
        <v>112</v>
      </c>
      <c r="B113" s="1" t="s">
        <v>504</v>
      </c>
      <c r="C113" s="5" t="str">
        <f>HYPERLINK(tab_alap[[#This Row],[Link]], "Megnyitás ↗")</f>
        <v>Megnyitás ↗</v>
      </c>
      <c r="D113">
        <v>38</v>
      </c>
      <c r="E113">
        <v>65500</v>
      </c>
      <c r="F113">
        <v>50.3</v>
      </c>
      <c r="G113" s="4">
        <f>tab_alap[[#This Row],[Ár]]/tab_alap[[#This Row],[Nm]]</f>
        <v>1302.1868787276342</v>
      </c>
      <c r="H11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3" s="3" t="s">
        <v>20</v>
      </c>
      <c r="J113" s="5" t="str">
        <f>HYPERLINK("https://www.google.com/maps/search/?api=1&amp;query=" &amp; tab_alap[[#This Row],[Y]] &amp; "," &amp; tab_alap[[#This Row],[X]], "Megnyitás")</f>
        <v>Megnyitás</v>
      </c>
      <c r="K113" s="15" t="b">
        <v>0</v>
      </c>
      <c r="L113" t="s">
        <v>21</v>
      </c>
      <c r="M113" t="str">
        <f>LEFT(tab_alap[[#This Row],[állapot]],1) &amp; tab_alap[[#This Row],[Térképjelölés]]</f>
        <v>f38</v>
      </c>
      <c r="N113" s="14" t="str">
        <f>_xlfn.XLOOKUP(tab_alap[[#This Row],[azonosito]], Koordinatak[azonosito_1], Koordinatak[X_1], "-")</f>
        <v>25.8076715</v>
      </c>
      <c r="O113" t="str">
        <f>_xlfn.XLOOKUP(tab_alap[[#This Row],[azonosito]], Koordinatak[azonosito_1], Koordinatak[Y_1], "-")</f>
        <v>45.8646797</v>
      </c>
      <c r="Q113" s="13" t="s">
        <v>505</v>
      </c>
      <c r="R113" s="13" t="s">
        <v>506</v>
      </c>
      <c r="S113" s="13" t="s">
        <v>507</v>
      </c>
    </row>
    <row r="114" spans="1:19">
      <c r="A114">
        <v>113</v>
      </c>
      <c r="B114" s="1" t="s">
        <v>508</v>
      </c>
      <c r="C114" s="5" t="str">
        <f>HYPERLINK(tab_alap[[#This Row],[Link]], "Megnyitás ↗")</f>
        <v>Megnyitás ↗</v>
      </c>
      <c r="D114">
        <v>42</v>
      </c>
      <c r="E114">
        <v>65500</v>
      </c>
      <c r="F114">
        <v>52</v>
      </c>
      <c r="G114" s="4">
        <f>tab_alap[[#This Row],[Ár]]/tab_alap[[#This Row],[Nm]]</f>
        <v>1259.6153846153845</v>
      </c>
      <c r="H11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4" s="3" t="s">
        <v>20</v>
      </c>
      <c r="J114" s="5" t="str">
        <f>HYPERLINK("https://www.google.com/maps/search/?api=1&amp;query=" &amp; tab_alap[[#This Row],[Y]] &amp; "," &amp; tab_alap[[#This Row],[X]], "Megnyitás")</f>
        <v>Megnyitás</v>
      </c>
      <c r="K114" s="15" t="b">
        <v>0</v>
      </c>
      <c r="L114" t="s">
        <v>63</v>
      </c>
      <c r="M114" t="str">
        <f>LEFT(tab_alap[[#This Row],[állapot]],1) &amp; tab_alap[[#This Row],[Térképjelölés]]</f>
        <v>r42</v>
      </c>
      <c r="N114" s="14" t="str">
        <f>_xlfn.XLOOKUP(tab_alap[[#This Row],[azonosito]], Koordinatak[azonosito_1], Koordinatak[X_1], "-")</f>
        <v>25.808267</v>
      </c>
      <c r="O114" t="str">
        <f>_xlfn.XLOOKUP(tab_alap[[#This Row],[azonosito]], Koordinatak[azonosito_1], Koordinatak[Y_1], "-")</f>
        <v>45.8643996</v>
      </c>
      <c r="Q114" s="13" t="s">
        <v>509</v>
      </c>
      <c r="R114" s="13" t="s">
        <v>510</v>
      </c>
      <c r="S114" s="13" t="s">
        <v>511</v>
      </c>
    </row>
    <row r="115" spans="1:19">
      <c r="A115">
        <v>114</v>
      </c>
      <c r="B115" s="1" t="s">
        <v>512</v>
      </c>
      <c r="C115" s="5" t="str">
        <f>HYPERLINK(tab_alap[[#This Row],[Link]], "Megnyitás ↗")</f>
        <v>Megnyitás ↗</v>
      </c>
      <c r="D115">
        <v>32</v>
      </c>
      <c r="E115">
        <v>65000</v>
      </c>
      <c r="F115">
        <v>40</v>
      </c>
      <c r="G115" s="4">
        <f>tab_alap[[#This Row],[Ár]]/tab_alap[[#This Row],[Nm]]</f>
        <v>1625</v>
      </c>
      <c r="H11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5" s="3" t="s">
        <v>20</v>
      </c>
      <c r="J115" s="5" t="str">
        <f>HYPERLINK("https://www.google.com/maps/search/?api=1&amp;query=" &amp; tab_alap[[#This Row],[Y]] &amp; "," &amp; tab_alap[[#This Row],[X]], "Megnyitás")</f>
        <v>Megnyitás</v>
      </c>
      <c r="K115" s="15" t="b">
        <v>0</v>
      </c>
      <c r="L115" t="s">
        <v>29</v>
      </c>
      <c r="M115" t="str">
        <f>LEFT(tab_alap[[#This Row],[állapot]],1) &amp; tab_alap[[#This Row],[Térképjelölés]]</f>
        <v>j32</v>
      </c>
      <c r="N115" s="14" t="str">
        <f>_xlfn.XLOOKUP(tab_alap[[#This Row],[azonosito]], Koordinatak[azonosito_1], Koordinatak[X_1], "-")</f>
        <v>25.7768531</v>
      </c>
      <c r="O115" t="str">
        <f>_xlfn.XLOOKUP(tab_alap[[#This Row],[azonosito]], Koordinatak[azonosito_1], Koordinatak[Y_1], "-")</f>
        <v>45.8600154</v>
      </c>
      <c r="Q115" s="13" t="s">
        <v>513</v>
      </c>
      <c r="R115" s="13" t="s">
        <v>514</v>
      </c>
      <c r="S115" s="13" t="s">
        <v>515</v>
      </c>
    </row>
    <row r="116" spans="1:19">
      <c r="A116">
        <v>115</v>
      </c>
      <c r="B116" s="1" t="s">
        <v>516</v>
      </c>
      <c r="C116" s="5" t="str">
        <f>HYPERLINK(tab_alap[[#This Row],[Link]], "Megnyitás ↗")</f>
        <v>Megnyitás ↗</v>
      </c>
      <c r="D116">
        <v>43</v>
      </c>
      <c r="E116">
        <v>65000</v>
      </c>
      <c r="F116">
        <v>52</v>
      </c>
      <c r="G116" s="4">
        <f>tab_alap[[#This Row],[Ár]]/tab_alap[[#This Row],[Nm]]</f>
        <v>1250</v>
      </c>
      <c r="H11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6" s="3" t="s">
        <v>517</v>
      </c>
      <c r="J116" s="5" t="str">
        <f>HYPERLINK("https://www.google.com/maps/search/?api=1&amp;query=" &amp; tab_alap[[#This Row],[Y]] &amp; "," &amp; tab_alap[[#This Row],[X]], "Megnyitás")</f>
        <v>Megnyitás</v>
      </c>
      <c r="K116" s="15" t="b">
        <v>0</v>
      </c>
      <c r="L116" t="s">
        <v>63</v>
      </c>
      <c r="M116" t="str">
        <f>LEFT(tab_alap[[#This Row],[állapot]],1) &amp; tab_alap[[#This Row],[Térképjelölés]]</f>
        <v>r43</v>
      </c>
      <c r="N116" s="14" t="str">
        <f>_xlfn.XLOOKUP(tab_alap[[#This Row],[azonosito]], Koordinatak[azonosito_1], Koordinatak[X_1], "-")</f>
        <v>25.77434</v>
      </c>
      <c r="O116" t="str">
        <f>_xlfn.XLOOKUP(tab_alap[[#This Row],[azonosito]], Koordinatak[azonosito_1], Koordinatak[Y_1], "-")</f>
        <v>45.8595372</v>
      </c>
      <c r="Q116" s="13" t="s">
        <v>518</v>
      </c>
      <c r="R116" s="13" t="s">
        <v>519</v>
      </c>
      <c r="S116" s="13" t="s">
        <v>520</v>
      </c>
    </row>
    <row r="117" spans="1:19">
      <c r="A117">
        <v>116</v>
      </c>
      <c r="B117" s="1" t="s">
        <v>521</v>
      </c>
      <c r="C117" s="5" t="str">
        <f>HYPERLINK(tab_alap[[#This Row],[Link]], "Megnyitás ↗")</f>
        <v>Megnyitás ↗</v>
      </c>
      <c r="D117">
        <v>39</v>
      </c>
      <c r="E117">
        <v>65000</v>
      </c>
      <c r="F117">
        <v>50</v>
      </c>
      <c r="G117" s="4">
        <f>tab_alap[[#This Row],[Ár]]/tab_alap[[#This Row],[Nm]]</f>
        <v>1300</v>
      </c>
      <c r="H11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7" s="3" t="s">
        <v>130</v>
      </c>
      <c r="J117" s="5" t="str">
        <f>HYPERLINK("https://www.google.com/maps/search/?api=1&amp;query=" &amp; tab_alap[[#This Row],[Y]] &amp; "," &amp; tab_alap[[#This Row],[X]], "Megnyitás")</f>
        <v>Megnyitás</v>
      </c>
      <c r="K117" s="15" t="b">
        <v>0</v>
      </c>
      <c r="L117" t="s">
        <v>21</v>
      </c>
      <c r="M117" t="str">
        <f>LEFT(tab_alap[[#This Row],[állapot]],1) &amp; tab_alap[[#This Row],[Térképjelölés]]</f>
        <v>f39</v>
      </c>
      <c r="N117" s="14" t="str">
        <f>_xlfn.XLOOKUP(tab_alap[[#This Row],[azonosito]], Koordinatak[azonosito_1], Koordinatak[X_1], "-")</f>
        <v>25.7939624</v>
      </c>
      <c r="O117" t="str">
        <f>_xlfn.XLOOKUP(tab_alap[[#This Row],[azonosito]], Koordinatak[azonosito_1], Koordinatak[Y_1], "-")</f>
        <v>45.8624198</v>
      </c>
      <c r="Q117" s="13" t="s">
        <v>522</v>
      </c>
      <c r="R117" s="13" t="s">
        <v>523</v>
      </c>
      <c r="S117" s="13" t="s">
        <v>524</v>
      </c>
    </row>
    <row r="118" spans="1:19">
      <c r="A118">
        <v>117</v>
      </c>
      <c r="B118" s="1" t="s">
        <v>525</v>
      </c>
      <c r="C118" s="5" t="str">
        <f>HYPERLINK(tab_alap[[#This Row],[Link]], "Megnyitás ↗")</f>
        <v>Megnyitás ↗</v>
      </c>
      <c r="D118">
        <v>40</v>
      </c>
      <c r="E118">
        <v>65000</v>
      </c>
      <c r="F118">
        <v>52</v>
      </c>
      <c r="G118" s="4">
        <f>tab_alap[[#This Row],[Ár]]/tab_alap[[#This Row],[Nm]]</f>
        <v>1250</v>
      </c>
      <c r="H11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8" s="3" t="s">
        <v>28</v>
      </c>
      <c r="J118" s="5" t="str">
        <f>HYPERLINK("https://www.google.com/maps/search/?api=1&amp;query=" &amp; tab_alap[[#This Row],[Y]] &amp; "," &amp; tab_alap[[#This Row],[X]], "Megnyitás")</f>
        <v>Megnyitás</v>
      </c>
      <c r="K118" s="15" t="b">
        <v>0</v>
      </c>
      <c r="L118" t="s">
        <v>406</v>
      </c>
      <c r="M118" t="str">
        <f>LEFT(tab_alap[[#This Row],[állapot]],1) &amp; tab_alap[[#This Row],[Térképjelölés]]</f>
        <v>f40</v>
      </c>
      <c r="N118" s="14" t="str">
        <f>_xlfn.XLOOKUP(tab_alap[[#This Row],[azonosito]], Koordinatak[azonosito_1], Koordinatak[X_1], "-")</f>
        <v>25.7745442</v>
      </c>
      <c r="O118" t="str">
        <f>_xlfn.XLOOKUP(tab_alap[[#This Row],[azonosito]], Koordinatak[azonosito_1], Koordinatak[Y_1], "-")</f>
        <v>45.8582365</v>
      </c>
      <c r="Q118" s="13" t="s">
        <v>526</v>
      </c>
      <c r="R118" s="13" t="s">
        <v>527</v>
      </c>
      <c r="S118" s="13" t="s">
        <v>528</v>
      </c>
    </row>
    <row r="119" spans="1:19">
      <c r="A119">
        <v>118</v>
      </c>
      <c r="B119" s="1" t="s">
        <v>529</v>
      </c>
      <c r="C119" s="5" t="str">
        <f>HYPERLINK(tab_alap[[#This Row],[Link]], "Megnyitás ↗")</f>
        <v>Megnyitás ↗</v>
      </c>
      <c r="D119">
        <v>44</v>
      </c>
      <c r="E119">
        <v>65000</v>
      </c>
      <c r="F119">
        <v>52.48</v>
      </c>
      <c r="G119" s="4">
        <f>tab_alap[[#This Row],[Ár]]/tab_alap[[#This Row],[Nm]]</f>
        <v>1238.5670731707319</v>
      </c>
      <c r="H11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19" s="3" t="s">
        <v>179</v>
      </c>
      <c r="J119" s="5" t="str">
        <f>HYPERLINK("https://www.google.com/maps/search/?api=1&amp;query=" &amp; tab_alap[[#This Row],[Y]] &amp; "," &amp; tab_alap[[#This Row],[X]], "Megnyitás")</f>
        <v>Megnyitás</v>
      </c>
      <c r="K119" s="15" t="b">
        <v>0</v>
      </c>
      <c r="L119" t="s">
        <v>63</v>
      </c>
      <c r="M119" t="str">
        <f>LEFT(tab_alap[[#This Row],[állapot]],1) &amp; tab_alap[[#This Row],[Térképjelölés]]</f>
        <v>r44</v>
      </c>
      <c r="N119" s="14" t="str">
        <f>_xlfn.XLOOKUP(tab_alap[[#This Row],[azonosito]], Koordinatak[azonosito_1], Koordinatak[X_1], "-")</f>
        <v>25.773078</v>
      </c>
      <c r="O119" t="str">
        <f>_xlfn.XLOOKUP(tab_alap[[#This Row],[azonosito]], Koordinatak[azonosito_1], Koordinatak[Y_1], "-")</f>
        <v>45.8597328</v>
      </c>
      <c r="Q119" s="13" t="s">
        <v>530</v>
      </c>
      <c r="R119" s="13" t="s">
        <v>531</v>
      </c>
      <c r="S119" s="13" t="s">
        <v>532</v>
      </c>
    </row>
    <row r="120" spans="1:19">
      <c r="A120">
        <v>119</v>
      </c>
      <c r="B120" s="1" t="s">
        <v>533</v>
      </c>
      <c r="C120" s="5" t="str">
        <f>HYPERLINK(tab_alap[[#This Row],[Link]], "Megnyitás ↗")</f>
        <v>Megnyitás ↗</v>
      </c>
      <c r="D120">
        <v>41</v>
      </c>
      <c r="E120">
        <v>64800</v>
      </c>
      <c r="F120">
        <v>52</v>
      </c>
      <c r="G120" s="4">
        <f>tab_alap[[#This Row],[Ár]]/tab_alap[[#This Row],[Nm]]</f>
        <v>1246.1538461538462</v>
      </c>
      <c r="H12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0" s="3" t="s">
        <v>20</v>
      </c>
      <c r="J120" s="5" t="str">
        <f>HYPERLINK("https://www.google.com/maps/search/?api=1&amp;query=" &amp; tab_alap[[#This Row],[Y]] &amp; "," &amp; tab_alap[[#This Row],[X]], "Megnyitás")</f>
        <v>Megnyitás</v>
      </c>
      <c r="K120" s="15" t="b">
        <v>0</v>
      </c>
      <c r="L120" t="s">
        <v>21</v>
      </c>
      <c r="M120" t="str">
        <f>LEFT(tab_alap[[#This Row],[állapot]],1) &amp; tab_alap[[#This Row],[Térképjelölés]]</f>
        <v>f41</v>
      </c>
      <c r="N120" s="14" t="str">
        <f>_xlfn.XLOOKUP(tab_alap[[#This Row],[azonosito]], Koordinatak[azonosito_1], Koordinatak[X_1], "-")</f>
        <v>25.7900402</v>
      </c>
      <c r="O120" t="str">
        <f>_xlfn.XLOOKUP(tab_alap[[#This Row],[azonosito]], Koordinatak[azonosito_1], Koordinatak[Y_1], "-")</f>
        <v>45.8596302</v>
      </c>
      <c r="Q120" s="13" t="s">
        <v>534</v>
      </c>
      <c r="R120" s="13" t="s">
        <v>535</v>
      </c>
      <c r="S120" s="13" t="s">
        <v>536</v>
      </c>
    </row>
    <row r="121" spans="1:19">
      <c r="A121">
        <v>120</v>
      </c>
      <c r="B121" s="1" t="s">
        <v>537</v>
      </c>
      <c r="C121" s="5" t="str">
        <f>HYPERLINK(tab_alap[[#This Row],[Link]], "Megnyitás ↗")</f>
        <v>Megnyitás ↗</v>
      </c>
      <c r="D121">
        <v>42</v>
      </c>
      <c r="E121">
        <v>64000</v>
      </c>
      <c r="F121">
        <v>68</v>
      </c>
      <c r="G121" s="4">
        <f>tab_alap[[#This Row],[Ár]]/tab_alap[[#This Row],[Nm]]</f>
        <v>941.17647058823525</v>
      </c>
      <c r="H12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21" s="3" t="s">
        <v>52</v>
      </c>
      <c r="J121" s="5" t="str">
        <f>HYPERLINK("https://www.google.com/maps/search/?api=1&amp;query=" &amp; tab_alap[[#This Row],[Y]] &amp; "," &amp; tab_alap[[#This Row],[X]], "Megnyitás")</f>
        <v>Megnyitás</v>
      </c>
      <c r="K121" s="15" t="b">
        <v>0</v>
      </c>
      <c r="L121" t="s">
        <v>21</v>
      </c>
      <c r="M121" t="str">
        <f>LEFT(tab_alap[[#This Row],[állapot]],1) &amp; tab_alap[[#This Row],[Térképjelölés]]</f>
        <v>f42</v>
      </c>
      <c r="N121" s="14" t="str">
        <f>_xlfn.XLOOKUP(tab_alap[[#This Row],[azonosito]], Koordinatak[azonosito_1], Koordinatak[X_1], "-")</f>
        <v>25.7785328</v>
      </c>
      <c r="O121" t="str">
        <f>_xlfn.XLOOKUP(tab_alap[[#This Row],[azonosito]], Koordinatak[azonosito_1], Koordinatak[Y_1], "-")</f>
        <v>45.8698068</v>
      </c>
      <c r="Q121" s="13" t="s">
        <v>538</v>
      </c>
      <c r="R121" s="13" t="s">
        <v>539</v>
      </c>
      <c r="S121" s="13" t="s">
        <v>540</v>
      </c>
    </row>
    <row r="122" spans="1:19">
      <c r="A122">
        <v>121</v>
      </c>
      <c r="B122" s="1" t="s">
        <v>541</v>
      </c>
      <c r="C122" s="5" t="str">
        <f>HYPERLINK(tab_alap[[#This Row],[Link]], "Megnyitás ↗")</f>
        <v>Megnyitás ↗</v>
      </c>
      <c r="D122">
        <v>43</v>
      </c>
      <c r="E122">
        <v>63900</v>
      </c>
      <c r="F122">
        <v>51.6</v>
      </c>
      <c r="G122" s="4">
        <f>tab_alap[[#This Row],[Ár]]/tab_alap[[#This Row],[Nm]]</f>
        <v>1238.3720930232557</v>
      </c>
      <c r="H12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2" s="3" t="s">
        <v>28</v>
      </c>
      <c r="J122" s="5" t="str">
        <f>HYPERLINK("https://www.google.com/maps/search/?api=1&amp;query=" &amp; tab_alap[[#This Row],[Y]] &amp; "," &amp; tab_alap[[#This Row],[X]], "Megnyitás")</f>
        <v>Megnyitás</v>
      </c>
      <c r="K122" s="15" t="b">
        <v>0</v>
      </c>
      <c r="L122" t="s">
        <v>21</v>
      </c>
      <c r="M122" t="str">
        <f>LEFT(tab_alap[[#This Row],[állapot]],1) &amp; tab_alap[[#This Row],[Térképjelölés]]</f>
        <v>f43</v>
      </c>
      <c r="N122" s="14" t="str">
        <f>_xlfn.XLOOKUP(tab_alap[[#This Row],[azonosito]], Koordinatak[azonosito_1], Koordinatak[X_1], "-")</f>
        <v>25.7760521</v>
      </c>
      <c r="O122" t="str">
        <f>_xlfn.XLOOKUP(tab_alap[[#This Row],[azonosito]], Koordinatak[azonosito_1], Koordinatak[Y_1], "-")</f>
        <v>45.8580335</v>
      </c>
      <c r="Q122" s="13" t="s">
        <v>542</v>
      </c>
      <c r="R122" s="13" t="s">
        <v>543</v>
      </c>
      <c r="S122" s="13" t="s">
        <v>544</v>
      </c>
    </row>
    <row r="123" spans="1:19">
      <c r="A123">
        <v>122</v>
      </c>
      <c r="B123" s="1" t="s">
        <v>545</v>
      </c>
      <c r="C123" s="5" t="str">
        <f>HYPERLINK(tab_alap[[#This Row],[Link]], "Megnyitás ↗")</f>
        <v>Megnyitás ↗</v>
      </c>
      <c r="D123">
        <v>44</v>
      </c>
      <c r="E123">
        <v>63000</v>
      </c>
      <c r="F123">
        <v>49</v>
      </c>
      <c r="G123" s="4">
        <f>tab_alap[[#This Row],[Ár]]/tab_alap[[#This Row],[Nm]]</f>
        <v>1285.7142857142858</v>
      </c>
      <c r="H12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3" s="3" t="s">
        <v>28</v>
      </c>
      <c r="J123" s="5" t="str">
        <f>HYPERLINK("https://www.google.com/maps/search/?api=1&amp;query=" &amp; tab_alap[[#This Row],[Y]] &amp; "," &amp; tab_alap[[#This Row],[X]], "Megnyitás")</f>
        <v>Megnyitás</v>
      </c>
      <c r="K123" s="15" t="b">
        <v>0</v>
      </c>
      <c r="L123" t="s">
        <v>406</v>
      </c>
      <c r="M123" t="str">
        <f>LEFT(tab_alap[[#This Row],[állapot]],1) &amp; tab_alap[[#This Row],[Térképjelölés]]</f>
        <v>f44</v>
      </c>
      <c r="N123" s="14" t="str">
        <f>_xlfn.XLOOKUP(tab_alap[[#This Row],[azonosito]], Koordinatak[azonosito_1], Koordinatak[X_1], "-")</f>
        <v>25.782969</v>
      </c>
      <c r="O123" t="str">
        <f>_xlfn.XLOOKUP(tab_alap[[#This Row],[azonosito]], Koordinatak[azonosito_1], Koordinatak[Y_1], "-")</f>
        <v>45.8616613</v>
      </c>
      <c r="Q123" s="13" t="s">
        <v>546</v>
      </c>
      <c r="R123" s="13" t="s">
        <v>547</v>
      </c>
      <c r="S123" s="13" t="s">
        <v>548</v>
      </c>
    </row>
    <row r="124" spans="1:19">
      <c r="A124">
        <v>123</v>
      </c>
      <c r="B124" s="1" t="s">
        <v>549</v>
      </c>
      <c r="C124" s="5" t="str">
        <f>HYPERLINK(tab_alap[[#This Row],[Link]], "Megnyitás ↗")</f>
        <v>Megnyitás ↗</v>
      </c>
      <c r="D124">
        <v>45</v>
      </c>
      <c r="E124">
        <v>63000</v>
      </c>
      <c r="F124">
        <v>49</v>
      </c>
      <c r="G124" s="4">
        <f>tab_alap[[#This Row],[Ár]]/tab_alap[[#This Row],[Nm]]</f>
        <v>1285.7142857142858</v>
      </c>
      <c r="H12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4" s="3" t="s">
        <v>130</v>
      </c>
      <c r="J124" s="5" t="str">
        <f>HYPERLINK("https://www.google.com/maps/search/?api=1&amp;query=" &amp; tab_alap[[#This Row],[Y]] &amp; "," &amp; tab_alap[[#This Row],[X]], "Megnyitás")</f>
        <v>Megnyitás</v>
      </c>
      <c r="K124" s="15" t="b">
        <v>0</v>
      </c>
      <c r="L124" t="s">
        <v>21</v>
      </c>
      <c r="M124" t="str">
        <f>LEFT(tab_alap[[#This Row],[állapot]],1) &amp; tab_alap[[#This Row],[Térképjelölés]]</f>
        <v>f45</v>
      </c>
      <c r="N124" s="14" t="str">
        <f>_xlfn.XLOOKUP(tab_alap[[#This Row],[azonosito]], Koordinatak[azonosito_1], Koordinatak[X_1], "-")</f>
        <v>25.7791968</v>
      </c>
      <c r="O124" t="str">
        <f>_xlfn.XLOOKUP(tab_alap[[#This Row],[azonosito]], Koordinatak[azonosito_1], Koordinatak[Y_1], "-")</f>
        <v>45.8698298</v>
      </c>
      <c r="Q124" s="13" t="s">
        <v>550</v>
      </c>
      <c r="R124" s="13" t="s">
        <v>551</v>
      </c>
      <c r="S124" s="13" t="s">
        <v>552</v>
      </c>
    </row>
    <row r="125" spans="1:19">
      <c r="A125">
        <v>124</v>
      </c>
      <c r="B125" s="1" t="s">
        <v>553</v>
      </c>
      <c r="C125" s="5" t="str">
        <f>HYPERLINK(tab_alap[[#This Row],[Link]], "Megnyitás ↗")</f>
        <v>Megnyitás ↗</v>
      </c>
      <c r="D125">
        <v>46</v>
      </c>
      <c r="E125">
        <v>62000</v>
      </c>
      <c r="F125">
        <v>70</v>
      </c>
      <c r="G125" s="4">
        <f>tab_alap[[#This Row],[Ár]]/tab_alap[[#This Row],[Nm]]</f>
        <v>885.71428571428567</v>
      </c>
      <c r="H12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25" s="3" t="s">
        <v>148</v>
      </c>
      <c r="J125" s="5" t="str">
        <f>HYPERLINK("https://www.google.com/maps/search/?api=1&amp;query=" &amp; tab_alap[[#This Row],[Y]] &amp; "," &amp; tab_alap[[#This Row],[X]], "Megnyitás")</f>
        <v>Megnyitás</v>
      </c>
      <c r="K125" s="15" t="b">
        <v>0</v>
      </c>
      <c r="L125" t="s">
        <v>406</v>
      </c>
      <c r="M125" t="str">
        <f>LEFT(tab_alap[[#This Row],[állapot]],1) &amp; tab_alap[[#This Row],[Térképjelölés]]</f>
        <v>f46</v>
      </c>
      <c r="N125" s="14" t="str">
        <f>_xlfn.XLOOKUP(tab_alap[[#This Row],[azonosito]], Koordinatak[azonosito_1], Koordinatak[X_1], "-")</f>
        <v>25.7803448</v>
      </c>
      <c r="O125" t="str">
        <f>_xlfn.XLOOKUP(tab_alap[[#This Row],[azonosito]], Koordinatak[azonosito_1], Koordinatak[Y_1], "-")</f>
        <v>45.8629019</v>
      </c>
      <c r="Q125" s="13" t="s">
        <v>554</v>
      </c>
      <c r="R125" s="13" t="s">
        <v>555</v>
      </c>
      <c r="S125" s="13" t="s">
        <v>556</v>
      </c>
    </row>
    <row r="126" spans="1:19">
      <c r="A126">
        <v>125</v>
      </c>
      <c r="B126" s="1" t="s">
        <v>557</v>
      </c>
      <c r="C126" s="5" t="str">
        <f>HYPERLINK(tab_alap[[#This Row],[Link]], "Megnyitás ↗")</f>
        <v>Megnyitás ↗</v>
      </c>
      <c r="D126">
        <v>45</v>
      </c>
      <c r="E126">
        <v>60000</v>
      </c>
      <c r="F126">
        <v>50</v>
      </c>
      <c r="G126" s="4">
        <f>tab_alap[[#This Row],[Ár]]/tab_alap[[#This Row],[Nm]]</f>
        <v>1200</v>
      </c>
      <c r="H126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6" s="3" t="s">
        <v>20</v>
      </c>
      <c r="J126" s="5" t="str">
        <f>HYPERLINK("https://www.google.com/maps/search/?api=1&amp;query=" &amp; tab_alap[[#This Row],[Y]] &amp; "," &amp; tab_alap[[#This Row],[X]], "Megnyitás")</f>
        <v>Megnyitás</v>
      </c>
      <c r="K126" s="15" t="b">
        <v>0</v>
      </c>
      <c r="L126" t="s">
        <v>63</v>
      </c>
      <c r="M126" t="str">
        <f>LEFT(tab_alap[[#This Row],[állapot]],1) &amp; tab_alap[[#This Row],[Térképjelölés]]</f>
        <v>r45</v>
      </c>
      <c r="N126" s="14" t="str">
        <f>_xlfn.XLOOKUP(tab_alap[[#This Row],[azonosito]], Koordinatak[azonosito_1], Koordinatak[X_1], "-")</f>
        <v>25.8079559</v>
      </c>
      <c r="O126" t="str">
        <f>_xlfn.XLOOKUP(tab_alap[[#This Row],[azonosito]], Koordinatak[azonosito_1], Koordinatak[Y_1], "-")</f>
        <v>45.8641959</v>
      </c>
      <c r="Q126" s="13" t="s">
        <v>558</v>
      </c>
      <c r="R126" s="13" t="s">
        <v>559</v>
      </c>
      <c r="S126" s="13" t="s">
        <v>560</v>
      </c>
    </row>
    <row r="127" spans="1:19">
      <c r="A127">
        <v>126</v>
      </c>
      <c r="B127" s="1" t="s">
        <v>561</v>
      </c>
      <c r="C127" s="5" t="str">
        <f>HYPERLINK(tab_alap[[#This Row],[Link]], "Megnyitás ↗")</f>
        <v>Megnyitás ↗</v>
      </c>
      <c r="D127">
        <v>47</v>
      </c>
      <c r="E127">
        <v>59900</v>
      </c>
      <c r="F127">
        <v>50</v>
      </c>
      <c r="G127" s="4">
        <f>tab_alap[[#This Row],[Ár]]/tab_alap[[#This Row],[Nm]]</f>
        <v>1198</v>
      </c>
      <c r="H12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7" s="3" t="s">
        <v>130</v>
      </c>
      <c r="J127" s="5" t="str">
        <f>HYPERLINK("https://www.google.com/maps/search/?api=1&amp;query=" &amp; tab_alap[[#This Row],[Y]] &amp; "," &amp; tab_alap[[#This Row],[X]], "Megnyitás")</f>
        <v>Megnyitás</v>
      </c>
      <c r="K127" s="15" t="b">
        <v>0</v>
      </c>
      <c r="L127" t="s">
        <v>21</v>
      </c>
      <c r="M127" t="str">
        <f>LEFT(tab_alap[[#This Row],[állapot]],1) &amp; tab_alap[[#This Row],[Térképjelölés]]</f>
        <v>f47</v>
      </c>
      <c r="N127" s="14" t="str">
        <f>_xlfn.XLOOKUP(tab_alap[[#This Row],[azonosito]], Koordinatak[azonosito_1], Koordinatak[X_1], "-")</f>
        <v>25.8083648</v>
      </c>
      <c r="O127" t="str">
        <f>_xlfn.XLOOKUP(tab_alap[[#This Row],[azonosito]], Koordinatak[azonosito_1], Koordinatak[Y_1], "-")</f>
        <v>45.865924</v>
      </c>
      <c r="Q127" s="13" t="s">
        <v>562</v>
      </c>
      <c r="R127" s="13" t="s">
        <v>563</v>
      </c>
      <c r="S127" s="13" t="s">
        <v>564</v>
      </c>
    </row>
    <row r="128" spans="1:19">
      <c r="A128">
        <v>127</v>
      </c>
      <c r="B128" s="1" t="s">
        <v>565</v>
      </c>
      <c r="C128" s="5" t="str">
        <f>HYPERLINK(tab_alap[[#This Row],[Link]], "Megnyitás ↗")</f>
        <v>Megnyitás ↗</v>
      </c>
      <c r="D128">
        <v>48</v>
      </c>
      <c r="E128">
        <v>59900</v>
      </c>
      <c r="F128">
        <v>45.36</v>
      </c>
      <c r="G128" s="4">
        <f>tab_alap[[#This Row],[Ár]]/tab_alap[[#This Row],[Nm]]</f>
        <v>1320.546737213404</v>
      </c>
      <c r="H12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8" s="3" t="s">
        <v>20</v>
      </c>
      <c r="J128" s="5" t="str">
        <f>HYPERLINK("https://www.google.com/maps/search/?api=1&amp;query=" &amp; tab_alap[[#This Row],[Y]] &amp; "," &amp; tab_alap[[#This Row],[X]], "Megnyitás")</f>
        <v>Megnyitás</v>
      </c>
      <c r="K128" s="15" t="b">
        <v>0</v>
      </c>
      <c r="L128" t="s">
        <v>21</v>
      </c>
      <c r="M128" t="str">
        <f>LEFT(tab_alap[[#This Row],[állapot]],1) &amp; tab_alap[[#This Row],[Térképjelölés]]</f>
        <v>f48</v>
      </c>
      <c r="N128" s="14" t="str">
        <f>_xlfn.XLOOKUP(tab_alap[[#This Row],[azonosito]], Koordinatak[azonosito_1], Koordinatak[X_1], "-")</f>
        <v>25.7999105</v>
      </c>
      <c r="O128" t="str">
        <f>_xlfn.XLOOKUP(tab_alap[[#This Row],[azonosito]], Koordinatak[azonosito_1], Koordinatak[Y_1], "-")</f>
        <v>45.8598743</v>
      </c>
      <c r="Q128" s="13" t="s">
        <v>566</v>
      </c>
      <c r="R128" s="13" t="s">
        <v>567</v>
      </c>
      <c r="S128" s="13" t="s">
        <v>568</v>
      </c>
    </row>
    <row r="129" spans="1:19">
      <c r="A129">
        <v>128</v>
      </c>
      <c r="B129" s="1" t="s">
        <v>569</v>
      </c>
      <c r="C129" s="5" t="str">
        <f>HYPERLINK(tab_alap[[#This Row],[Link]], "Megnyitás ↗")</f>
        <v>Megnyitás ↗</v>
      </c>
      <c r="D129">
        <v>49</v>
      </c>
      <c r="E129">
        <v>59800</v>
      </c>
      <c r="F129">
        <v>56</v>
      </c>
      <c r="G129" s="4">
        <f>tab_alap[[#This Row],[Ár]]/tab_alap[[#This Row],[Nm]]</f>
        <v>1067.8571428571429</v>
      </c>
      <c r="H12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29" s="3" t="s">
        <v>213</v>
      </c>
      <c r="J129" s="5" t="str">
        <f>HYPERLINK("https://www.google.com/maps/search/?api=1&amp;query=" &amp; tab_alap[[#This Row],[Y]] &amp; "," &amp; tab_alap[[#This Row],[X]], "Megnyitás")</f>
        <v>Megnyitás</v>
      </c>
      <c r="K129" s="15" t="b">
        <v>0</v>
      </c>
      <c r="L129" t="s">
        <v>21</v>
      </c>
      <c r="M129" t="str">
        <f>LEFT(tab_alap[[#This Row],[állapot]],1) &amp; tab_alap[[#This Row],[Térképjelölés]]</f>
        <v>f49</v>
      </c>
      <c r="N129" s="14" t="str">
        <f>_xlfn.XLOOKUP(tab_alap[[#This Row],[azonosito]], Koordinatak[azonosito_1], Koordinatak[X_1], "-")</f>
        <v>25.8071558</v>
      </c>
      <c r="O129" t="str">
        <f>_xlfn.XLOOKUP(tab_alap[[#This Row],[azonosito]], Koordinatak[azonosito_1], Koordinatak[Y_1], "-")</f>
        <v>45.8650497</v>
      </c>
      <c r="Q129" s="13" t="s">
        <v>570</v>
      </c>
      <c r="R129" s="13" t="s">
        <v>571</v>
      </c>
      <c r="S129" s="13" t="s">
        <v>572</v>
      </c>
    </row>
    <row r="130" spans="1:19">
      <c r="A130">
        <v>129</v>
      </c>
      <c r="B130" s="1" t="s">
        <v>573</v>
      </c>
      <c r="C130" s="5" t="str">
        <f>HYPERLINK(tab_alap[[#This Row],[Link]], "Megnyitás ↗")</f>
        <v>Megnyitás ↗</v>
      </c>
      <c r="D130">
        <v>46</v>
      </c>
      <c r="E130">
        <v>59800</v>
      </c>
      <c r="F130">
        <v>55.1</v>
      </c>
      <c r="G130" s="4">
        <f>tab_alap[[#This Row],[Ár]]/tab_alap[[#This Row],[Nm]]</f>
        <v>1085.2994555353903</v>
      </c>
      <c r="H13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0" s="3" t="s">
        <v>517</v>
      </c>
      <c r="J130" s="5" t="str">
        <f>HYPERLINK("https://www.google.com/maps/search/?api=1&amp;query=" &amp; tab_alap[[#This Row],[Y]] &amp; "," &amp; tab_alap[[#This Row],[X]], "Megnyitás")</f>
        <v>Megnyitás</v>
      </c>
      <c r="K130" s="15" t="b">
        <v>0</v>
      </c>
      <c r="L130" t="s">
        <v>63</v>
      </c>
      <c r="M130" t="str">
        <f>LEFT(tab_alap[[#This Row],[állapot]],1) &amp; tab_alap[[#This Row],[Térképjelölés]]</f>
        <v>r46</v>
      </c>
      <c r="N130" s="14" t="str">
        <f>_xlfn.XLOOKUP(tab_alap[[#This Row],[azonosito]], Koordinatak[azonosito_1], Koordinatak[X_1], "-")</f>
        <v>25.7753632</v>
      </c>
      <c r="O130" t="str">
        <f>_xlfn.XLOOKUP(tab_alap[[#This Row],[azonosito]], Koordinatak[azonosito_1], Koordinatak[Y_1], "-")</f>
        <v>45.8589579</v>
      </c>
      <c r="Q130" s="13" t="s">
        <v>574</v>
      </c>
      <c r="R130" s="13" t="s">
        <v>575</v>
      </c>
      <c r="S130" s="13" t="s">
        <v>576</v>
      </c>
    </row>
    <row r="131" spans="1:19">
      <c r="A131">
        <v>130</v>
      </c>
      <c r="B131" s="1" t="s">
        <v>577</v>
      </c>
      <c r="C131" s="5" t="str">
        <f>HYPERLINK(tab_alap[[#This Row],[Link]], "Megnyitás ↗")</f>
        <v>Megnyitás ↗</v>
      </c>
      <c r="D131">
        <v>50</v>
      </c>
      <c r="E131">
        <v>58000</v>
      </c>
      <c r="F131">
        <v>50.3</v>
      </c>
      <c r="G131" s="4">
        <f>tab_alap[[#This Row],[Ár]]/tab_alap[[#This Row],[Nm]]</f>
        <v>1153.0815109343937</v>
      </c>
      <c r="H13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1" s="3" t="s">
        <v>20</v>
      </c>
      <c r="J131" s="5" t="str">
        <f>HYPERLINK("https://www.google.com/maps/search/?api=1&amp;query=" &amp; tab_alap[[#This Row],[Y]] &amp; "," &amp; tab_alap[[#This Row],[X]], "Megnyitás")</f>
        <v>Megnyitás</v>
      </c>
      <c r="K131" s="15" t="b">
        <v>0</v>
      </c>
      <c r="L131" t="s">
        <v>21</v>
      </c>
      <c r="M131" t="str">
        <f>LEFT(tab_alap[[#This Row],[állapot]],1) &amp; tab_alap[[#This Row],[Térképjelölés]]</f>
        <v>f50</v>
      </c>
      <c r="N131" s="14" t="str">
        <f>_xlfn.XLOOKUP(tab_alap[[#This Row],[azonosito]], Koordinatak[azonosito_1], Koordinatak[X_1], "-")</f>
        <v>25.8079764</v>
      </c>
      <c r="O131" t="str">
        <f>_xlfn.XLOOKUP(tab_alap[[#This Row],[azonosito]], Koordinatak[azonosito_1], Koordinatak[Y_1], "-")</f>
        <v>45.8644975</v>
      </c>
      <c r="Q131" s="13" t="s">
        <v>578</v>
      </c>
      <c r="R131" s="13" t="s">
        <v>579</v>
      </c>
      <c r="S131" s="13" t="s">
        <v>580</v>
      </c>
    </row>
    <row r="132" spans="1:19">
      <c r="A132">
        <v>131</v>
      </c>
      <c r="B132" s="1" t="s">
        <v>581</v>
      </c>
      <c r="C132" s="5" t="str">
        <f>HYPERLINK(tab_alap[[#This Row],[Link]], "Megnyitás ↗")</f>
        <v>Megnyitás ↗</v>
      </c>
      <c r="D132">
        <v>47</v>
      </c>
      <c r="E132">
        <v>56500</v>
      </c>
      <c r="F132">
        <v>54</v>
      </c>
      <c r="G132" s="4">
        <f>tab_alap[[#This Row],[Ár]]/tab_alap[[#This Row],[Nm]]</f>
        <v>1046.2962962962963</v>
      </c>
      <c r="H132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2" s="3" t="s">
        <v>101</v>
      </c>
      <c r="J132" s="5" t="str">
        <f>HYPERLINK("https://www.google.com/maps/search/?api=1&amp;query=" &amp; tab_alap[[#This Row],[Y]] &amp; "," &amp; tab_alap[[#This Row],[X]], "Megnyitás")</f>
        <v>Megnyitás</v>
      </c>
      <c r="K132" s="15" t="b">
        <v>0</v>
      </c>
      <c r="L132" t="s">
        <v>63</v>
      </c>
      <c r="M132" t="str">
        <f>LEFT(tab_alap[[#This Row],[állapot]],1) &amp; tab_alap[[#This Row],[Térképjelölés]]</f>
        <v>r47</v>
      </c>
      <c r="N132" s="14" t="str">
        <f>_xlfn.XLOOKUP(tab_alap[[#This Row],[azonosito]], Koordinatak[azonosito_1], Koordinatak[X_1], "-")</f>
        <v>25.7743821</v>
      </c>
      <c r="O132" t="str">
        <f>_xlfn.XLOOKUP(tab_alap[[#This Row],[azonosito]], Koordinatak[azonosito_1], Koordinatak[Y_1], "-")</f>
        <v>45.8577423</v>
      </c>
      <c r="Q132" s="13" t="s">
        <v>582</v>
      </c>
      <c r="R132" s="13" t="s">
        <v>583</v>
      </c>
      <c r="S132" s="13" t="s">
        <v>584</v>
      </c>
    </row>
    <row r="133" spans="1:19">
      <c r="A133">
        <v>132</v>
      </c>
      <c r="B133" s="1" t="s">
        <v>585</v>
      </c>
      <c r="C133" s="5" t="str">
        <f>HYPERLINK(tab_alap[[#This Row],[Link]], "Megnyitás ↗")</f>
        <v>Megnyitás ↗</v>
      </c>
      <c r="D133">
        <v>51</v>
      </c>
      <c r="E133">
        <v>56500</v>
      </c>
      <c r="F133">
        <v>38</v>
      </c>
      <c r="G133" s="4">
        <f>tab_alap[[#This Row],[Ár]]/tab_alap[[#This Row],[Nm]]</f>
        <v>1486.8421052631579</v>
      </c>
      <c r="H133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3" s="3" t="s">
        <v>20</v>
      </c>
      <c r="J133" s="5" t="str">
        <f>HYPERLINK("https://www.google.com/maps/search/?api=1&amp;query=" &amp; tab_alap[[#This Row],[Y]] &amp; "," &amp; tab_alap[[#This Row],[X]], "Megnyitás")</f>
        <v>Megnyitás</v>
      </c>
      <c r="K133" s="15" t="b">
        <v>0</v>
      </c>
      <c r="L133" t="s">
        <v>21</v>
      </c>
      <c r="M133" t="str">
        <f>LEFT(tab_alap[[#This Row],[állapot]],1) &amp; tab_alap[[#This Row],[Térképjelölés]]</f>
        <v>f51</v>
      </c>
      <c r="N133" s="14" t="str">
        <f>_xlfn.XLOOKUP(tab_alap[[#This Row],[azonosito]], Koordinatak[azonosito_1], Koordinatak[X_1], "-")</f>
        <v>25.7784862</v>
      </c>
      <c r="O133" t="str">
        <f>_xlfn.XLOOKUP(tab_alap[[#This Row],[azonosito]], Koordinatak[azonosito_1], Koordinatak[Y_1], "-")</f>
        <v>45.8597412</v>
      </c>
      <c r="Q133" s="13" t="s">
        <v>586</v>
      </c>
      <c r="R133" s="13" t="s">
        <v>587</v>
      </c>
      <c r="S133" s="13" t="s">
        <v>588</v>
      </c>
    </row>
    <row r="134" spans="1:19">
      <c r="A134">
        <v>133</v>
      </c>
      <c r="B134" s="1" t="s">
        <v>589</v>
      </c>
      <c r="C134" s="5" t="str">
        <f>HYPERLINK(tab_alap[[#This Row],[Link]], "Megnyitás ↗")</f>
        <v>Megnyitás ↗</v>
      </c>
      <c r="D134">
        <v>48</v>
      </c>
      <c r="E134">
        <v>55500</v>
      </c>
      <c r="F134">
        <v>47</v>
      </c>
      <c r="G134" s="4">
        <f>tab_alap[[#This Row],[Ár]]/tab_alap[[#This Row],[Nm]]</f>
        <v>1180.8510638297873</v>
      </c>
      <c r="H134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4" s="3" t="s">
        <v>130</v>
      </c>
      <c r="J134" s="5" t="str">
        <f>HYPERLINK("https://www.google.com/maps/search/?api=1&amp;query=" &amp; tab_alap[[#This Row],[Y]] &amp; "," &amp; tab_alap[[#This Row],[X]], "Megnyitás")</f>
        <v>Megnyitás</v>
      </c>
      <c r="K134" s="15" t="b">
        <v>0</v>
      </c>
      <c r="L134" t="s">
        <v>63</v>
      </c>
      <c r="M134" t="str">
        <f>LEFT(tab_alap[[#This Row],[állapot]],1) &amp; tab_alap[[#This Row],[Térképjelölés]]</f>
        <v>r48</v>
      </c>
      <c r="N134" s="14" t="str">
        <f>_xlfn.XLOOKUP(tab_alap[[#This Row],[azonosito]], Koordinatak[azonosito_1], Koordinatak[X_1], "-")</f>
        <v>25.7843534</v>
      </c>
      <c r="O134" t="str">
        <f>_xlfn.XLOOKUP(tab_alap[[#This Row],[azonosito]], Koordinatak[azonosito_1], Koordinatak[Y_1], "-")</f>
        <v>45.8614468</v>
      </c>
      <c r="Q134" s="13" t="s">
        <v>590</v>
      </c>
      <c r="R134" s="13" t="s">
        <v>591</v>
      </c>
      <c r="S134" s="13" t="s">
        <v>592</v>
      </c>
    </row>
    <row r="135" spans="1:19">
      <c r="A135">
        <v>134</v>
      </c>
      <c r="B135" s="1" t="s">
        <v>593</v>
      </c>
      <c r="C135" s="5" t="str">
        <f>HYPERLINK(tab_alap[[#This Row],[Link]], "Megnyitás ↗")</f>
        <v>Megnyitás ↗</v>
      </c>
      <c r="D135">
        <v>49</v>
      </c>
      <c r="E135">
        <v>55000</v>
      </c>
      <c r="F135">
        <v>37</v>
      </c>
      <c r="G135" s="4">
        <f>tab_alap[[#This Row],[Ár]]/tab_alap[[#This Row],[Nm]]</f>
        <v>1486.4864864864865</v>
      </c>
      <c r="H13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5" s="3" t="s">
        <v>58</v>
      </c>
      <c r="J135" s="5" t="str">
        <f>HYPERLINK("https://www.google.com/maps/search/?api=1&amp;query=" &amp; tab_alap[[#This Row],[Y]] &amp; "," &amp; tab_alap[[#This Row],[X]], "Megnyitás")</f>
        <v>Megnyitás</v>
      </c>
      <c r="K135" s="15" t="b">
        <v>0</v>
      </c>
      <c r="L135" t="s">
        <v>63</v>
      </c>
      <c r="M135" t="str">
        <f>LEFT(tab_alap[[#This Row],[állapot]],1) &amp; tab_alap[[#This Row],[Térképjelölés]]</f>
        <v>r49</v>
      </c>
      <c r="N135" s="14" t="str">
        <f>_xlfn.XLOOKUP(tab_alap[[#This Row],[azonosito]], Koordinatak[azonosito_1], Koordinatak[X_1], "-")</f>
        <v>25.7782863</v>
      </c>
      <c r="O135" t="str">
        <f>_xlfn.XLOOKUP(tab_alap[[#This Row],[azonosito]], Koordinatak[azonosito_1], Koordinatak[Y_1], "-")</f>
        <v>45.8595205</v>
      </c>
      <c r="Q135" s="13" t="s">
        <v>594</v>
      </c>
      <c r="R135" s="13" t="s">
        <v>595</v>
      </c>
      <c r="S135" s="13" t="s">
        <v>596</v>
      </c>
    </row>
    <row r="136" spans="1:19">
      <c r="A136">
        <v>135</v>
      </c>
      <c r="B136" s="1" t="s">
        <v>597</v>
      </c>
      <c r="C136" s="5" t="str">
        <f>HYPERLINK(tab_alap[[#This Row],[Link]], "Megnyitás ↗")</f>
        <v>Megnyitás ↗</v>
      </c>
      <c r="D136">
        <v>50</v>
      </c>
      <c r="E136">
        <v>53500</v>
      </c>
      <c r="F136">
        <v>28</v>
      </c>
      <c r="G136" s="4">
        <f>tab_alap[[#This Row],[Ár]]/tab_alap[[#This Row],[Nm]]</f>
        <v>1910.7142857142858</v>
      </c>
      <c r="H136">
        <v>1</v>
      </c>
      <c r="I136" s="3" t="s">
        <v>28</v>
      </c>
      <c r="J136" s="5" t="str">
        <f>HYPERLINK("https://www.google.com/maps/search/?api=1&amp;query=" &amp; tab_alap[[#This Row],[Y]] &amp; "," &amp; tab_alap[[#This Row],[X]], "Megnyitás")</f>
        <v>Megnyitás</v>
      </c>
      <c r="K136" s="15" t="b">
        <v>0</v>
      </c>
      <c r="L136" t="s">
        <v>63</v>
      </c>
      <c r="M136" t="str">
        <f>LEFT(tab_alap[[#This Row],[állapot]],1) &amp; tab_alap[[#This Row],[Térképjelölés]]</f>
        <v>r50</v>
      </c>
      <c r="N136" s="14" t="str">
        <f>_xlfn.XLOOKUP(tab_alap[[#This Row],[azonosito]], Koordinatak[azonosito_1], Koordinatak[X_1], "-")</f>
        <v>25.7966458</v>
      </c>
      <c r="O136" t="str">
        <f>_xlfn.XLOOKUP(tab_alap[[#This Row],[azonosito]], Koordinatak[azonosito_1], Koordinatak[Y_1], "-")</f>
        <v>45.8659608</v>
      </c>
      <c r="Q136" s="13" t="s">
        <v>598</v>
      </c>
      <c r="R136" s="13" t="s">
        <v>599</v>
      </c>
      <c r="S136" s="13" t="s">
        <v>600</v>
      </c>
    </row>
    <row r="137" spans="1:19">
      <c r="A137">
        <v>136</v>
      </c>
      <c r="B137" s="1" t="s">
        <v>601</v>
      </c>
      <c r="C137" s="5" t="str">
        <f>HYPERLINK(tab_alap[[#This Row],[Link]], "Megnyitás ↗")</f>
        <v>Megnyitás ↗</v>
      </c>
      <c r="D137">
        <v>51</v>
      </c>
      <c r="E137">
        <v>53000</v>
      </c>
      <c r="F137">
        <v>45.4</v>
      </c>
      <c r="G137" s="4">
        <f>tab_alap[[#This Row],[Ár]]/tab_alap[[#This Row],[Nm]]</f>
        <v>1167.4008810572689</v>
      </c>
      <c r="H137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7" s="3" t="s">
        <v>130</v>
      </c>
      <c r="J137" s="5" t="str">
        <f>HYPERLINK("https://www.google.com/maps/search/?api=1&amp;query=" &amp; tab_alap[[#This Row],[Y]] &amp; "," &amp; tab_alap[[#This Row],[X]], "Megnyitás")</f>
        <v>Megnyitás</v>
      </c>
      <c r="K137" s="15" t="b">
        <v>0</v>
      </c>
      <c r="L137" t="s">
        <v>63</v>
      </c>
      <c r="M137" t="str">
        <f>LEFT(tab_alap[[#This Row],[állapot]],1) &amp; tab_alap[[#This Row],[Térképjelölés]]</f>
        <v>r51</v>
      </c>
      <c r="N137" s="14" t="str">
        <f>_xlfn.XLOOKUP(tab_alap[[#This Row],[azonosito]], Koordinatak[azonosito_1], Koordinatak[X_1], "-")</f>
        <v>25.7842616</v>
      </c>
      <c r="O137" t="str">
        <f>_xlfn.XLOOKUP(tab_alap[[#This Row],[azonosito]], Koordinatak[azonosito_1], Koordinatak[Y_1], "-")</f>
        <v>45.8613714</v>
      </c>
      <c r="Q137" s="13" t="s">
        <v>602</v>
      </c>
      <c r="R137" s="13" t="s">
        <v>603</v>
      </c>
      <c r="S137" s="13" t="s">
        <v>604</v>
      </c>
    </row>
    <row r="138" spans="1:19">
      <c r="A138">
        <v>137</v>
      </c>
      <c r="B138" s="1" t="s">
        <v>605</v>
      </c>
      <c r="C138" s="5" t="str">
        <f>HYPERLINK(tab_alap[[#This Row],[Link]], "Megnyitás ↗")</f>
        <v>Megnyitás ↗</v>
      </c>
      <c r="D138">
        <v>52</v>
      </c>
      <c r="E138">
        <v>52000</v>
      </c>
      <c r="F138">
        <v>36.6</v>
      </c>
      <c r="G138" s="4">
        <f>tab_alap[[#This Row],[Ár]]/tab_alap[[#This Row],[Nm]]</f>
        <v>1420.7650273224044</v>
      </c>
      <c r="H138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38" s="3" t="s">
        <v>58</v>
      </c>
      <c r="J138" s="5" t="str">
        <f>HYPERLINK("https://www.google.com/maps/search/?api=1&amp;query=" &amp; tab_alap[[#This Row],[Y]] &amp; "," &amp; tab_alap[[#This Row],[X]], "Megnyitás")</f>
        <v>Megnyitás</v>
      </c>
      <c r="K138" s="15" t="b">
        <v>0</v>
      </c>
      <c r="L138" t="s">
        <v>63</v>
      </c>
      <c r="M138" t="str">
        <f>LEFT(tab_alap[[#This Row],[állapot]],1) &amp; tab_alap[[#This Row],[Térképjelölés]]</f>
        <v>r52</v>
      </c>
      <c r="N138" s="14" t="str">
        <f>_xlfn.XLOOKUP(tab_alap[[#This Row],[azonosito]], Koordinatak[azonosito_1], Koordinatak[X_1], "-")</f>
        <v>25.7767829</v>
      </c>
      <c r="O138" t="str">
        <f>_xlfn.XLOOKUP(tab_alap[[#This Row],[azonosito]], Koordinatak[azonosito_1], Koordinatak[Y_1], "-")</f>
        <v>45.8595527</v>
      </c>
      <c r="Q138" s="13" t="s">
        <v>606</v>
      </c>
      <c r="R138" s="13" t="s">
        <v>607</v>
      </c>
      <c r="S138" s="13" t="s">
        <v>608</v>
      </c>
    </row>
    <row r="139" spans="1:19">
      <c r="A139">
        <v>138</v>
      </c>
      <c r="B139" s="1" t="s">
        <v>609</v>
      </c>
      <c r="C139" s="5" t="str">
        <f>HYPERLINK(tab_alap[[#This Row],[Link]], "Megnyitás ↗")</f>
        <v>Megnyitás ↗</v>
      </c>
      <c r="D139">
        <v>52</v>
      </c>
      <c r="E139">
        <v>51900</v>
      </c>
      <c r="F139">
        <v>41</v>
      </c>
      <c r="G139" s="4">
        <f>tab_alap[[#This Row],[Ár]]/tab_alap[[#This Row],[Nm]]</f>
        <v>1265.8536585365853</v>
      </c>
      <c r="H139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3</v>
      </c>
      <c r="I139" s="3" t="s">
        <v>130</v>
      </c>
      <c r="J139" s="5" t="str">
        <f>HYPERLINK("https://www.google.com/maps/search/?api=1&amp;query=" &amp; tab_alap[[#This Row],[Y]] &amp; "," &amp; tab_alap[[#This Row],[X]], "Megnyitás")</f>
        <v>Megnyitás</v>
      </c>
      <c r="K139" s="15" t="b">
        <v>0</v>
      </c>
      <c r="L139" t="s">
        <v>21</v>
      </c>
      <c r="M139" t="str">
        <f>LEFT(tab_alap[[#This Row],[állapot]],1) &amp; tab_alap[[#This Row],[Térképjelölés]]</f>
        <v>f52</v>
      </c>
      <c r="N139" s="14" t="str">
        <f>_xlfn.XLOOKUP(tab_alap[[#This Row],[azonosito]], Koordinatak[azonosito_1], Koordinatak[X_1], "-")</f>
        <v>25.7773156</v>
      </c>
      <c r="O139" t="str">
        <f>_xlfn.XLOOKUP(tab_alap[[#This Row],[azonosito]], Koordinatak[azonosito_1], Koordinatak[Y_1], "-")</f>
        <v>45.8596159</v>
      </c>
      <c r="Q139" s="13" t="s">
        <v>610</v>
      </c>
      <c r="R139" s="13" t="s">
        <v>611</v>
      </c>
      <c r="S139" s="13" t="s">
        <v>612</v>
      </c>
    </row>
    <row r="140" spans="1:19">
      <c r="A140">
        <v>139</v>
      </c>
      <c r="B140" s="1" t="s">
        <v>613</v>
      </c>
      <c r="C140" s="5" t="str">
        <f>HYPERLINK(tab_alap[[#This Row],[Link]], "Megnyitás ↗")</f>
        <v>Megnyitás ↗</v>
      </c>
      <c r="D140">
        <v>53</v>
      </c>
      <c r="E140">
        <v>49900</v>
      </c>
      <c r="F140">
        <v>55</v>
      </c>
      <c r="G140" s="4">
        <f>tab_alap[[#This Row],[Ár]]/tab_alap[[#This Row],[Nm]]</f>
        <v>907.27272727272725</v>
      </c>
      <c r="H140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40" s="3" t="s">
        <v>517</v>
      </c>
      <c r="J140" s="5" t="str">
        <f>HYPERLINK("https://www.google.com/maps/search/?api=1&amp;query=" &amp; tab_alap[[#This Row],[Y]] &amp; "," &amp; tab_alap[[#This Row],[X]], "Megnyitás")</f>
        <v>Megnyitás</v>
      </c>
      <c r="K140" s="15" t="b">
        <v>0</v>
      </c>
      <c r="L140" t="s">
        <v>63</v>
      </c>
      <c r="M140" t="str">
        <f>LEFT(tab_alap[[#This Row],[állapot]],1) &amp; tab_alap[[#This Row],[Térképjelölés]]</f>
        <v>r53</v>
      </c>
      <c r="N140" s="14" t="str">
        <f>_xlfn.XLOOKUP(tab_alap[[#This Row],[azonosito]], Koordinatak[azonosito_1], Koordinatak[X_1], "-")</f>
        <v>25.7747406</v>
      </c>
      <c r="O140" t="str">
        <f>_xlfn.XLOOKUP(tab_alap[[#This Row],[azonosito]], Koordinatak[azonosito_1], Koordinatak[Y_1], "-")</f>
        <v>45.8576396</v>
      </c>
      <c r="Q140" s="13" t="s">
        <v>614</v>
      </c>
      <c r="R140" s="13" t="s">
        <v>615</v>
      </c>
      <c r="S140" s="13" t="s">
        <v>616</v>
      </c>
    </row>
    <row r="141" spans="1:19">
      <c r="A141">
        <v>140</v>
      </c>
      <c r="B141" s="1" t="s">
        <v>617</v>
      </c>
      <c r="C141" s="5" t="str">
        <f>HYPERLINK(tab_alap[[#This Row],[Link]], "Megnyitás ↗")</f>
        <v>Megnyitás ↗</v>
      </c>
      <c r="D141">
        <v>33</v>
      </c>
      <c r="E141">
        <v>49000</v>
      </c>
      <c r="F141">
        <v>28</v>
      </c>
      <c r="G141" s="4">
        <f>tab_alap[[#This Row],[Ár]]/tab_alap[[#This Row],[Nm]]</f>
        <v>1750</v>
      </c>
      <c r="H141">
        <v>1</v>
      </c>
      <c r="I141" s="3" t="s">
        <v>130</v>
      </c>
      <c r="J141" s="5" t="str">
        <f>HYPERLINK("https://www.google.com/maps/search/?api=1&amp;query=" &amp; tab_alap[[#This Row],[Y]] &amp; "," &amp; tab_alap[[#This Row],[X]], "Megnyitás")</f>
        <v>Megnyitás</v>
      </c>
      <c r="K141" s="15" t="b">
        <v>0</v>
      </c>
      <c r="L141" t="s">
        <v>29</v>
      </c>
      <c r="M141" t="str">
        <f>LEFT(tab_alap[[#This Row],[állapot]],1) &amp; tab_alap[[#This Row],[Térképjelölés]]</f>
        <v>j33</v>
      </c>
      <c r="N141" s="14" t="str">
        <f>_xlfn.XLOOKUP(tab_alap[[#This Row],[azonosito]], Koordinatak[azonosito_1], Koordinatak[X_1], "-")</f>
        <v>25.7957693</v>
      </c>
      <c r="O141" t="str">
        <f>_xlfn.XLOOKUP(tab_alap[[#This Row],[azonosito]], Koordinatak[azonosito_1], Koordinatak[Y_1], "-")</f>
        <v>45.8693553</v>
      </c>
      <c r="Q141" s="13" t="s">
        <v>618</v>
      </c>
      <c r="R141" s="13" t="s">
        <v>619</v>
      </c>
      <c r="S141" s="13" t="s">
        <v>620</v>
      </c>
    </row>
    <row r="142" spans="1:19">
      <c r="A142">
        <v>141</v>
      </c>
      <c r="B142" s="1" t="s">
        <v>621</v>
      </c>
      <c r="C142" s="5" t="str">
        <f>HYPERLINK(tab_alap[[#This Row],[Link]], "Megnyitás ↗")</f>
        <v>Megnyitás ↗</v>
      </c>
      <c r="D142">
        <v>53</v>
      </c>
      <c r="E142">
        <v>47799</v>
      </c>
      <c r="F142">
        <v>30</v>
      </c>
      <c r="G142" s="4">
        <f>tab_alap[[#This Row],[Ár]]/tab_alap[[#This Row],[Nm]]</f>
        <v>1593.3</v>
      </c>
      <c r="H142">
        <v>1</v>
      </c>
      <c r="I142" s="3" t="s">
        <v>622</v>
      </c>
      <c r="J142" s="5" t="str">
        <f>HYPERLINK("https://www.google.com/maps/search/?api=1&amp;query=" &amp; tab_alap[[#This Row],[Y]] &amp; "," &amp; tab_alap[[#This Row],[X]], "Megnyitás")</f>
        <v>Megnyitás</v>
      </c>
      <c r="K142" s="15" t="b">
        <v>0</v>
      </c>
      <c r="L142" t="s">
        <v>21</v>
      </c>
      <c r="M142" t="str">
        <f>LEFT(tab_alap[[#This Row],[állapot]],1) &amp; tab_alap[[#This Row],[Térképjelölés]]</f>
        <v>f53</v>
      </c>
      <c r="N142" s="14" t="str">
        <f>_xlfn.XLOOKUP(tab_alap[[#This Row],[azonosito]], Koordinatak[azonosito_1], Koordinatak[X_1], "-")</f>
        <v>25.7940125</v>
      </c>
      <c r="O142" t="str">
        <f>_xlfn.XLOOKUP(tab_alap[[#This Row],[azonosito]], Koordinatak[azonosito_1], Koordinatak[Y_1], "-")</f>
        <v>45.8687379</v>
      </c>
      <c r="Q142" s="13" t="s">
        <v>623</v>
      </c>
      <c r="R142" s="13" t="s">
        <v>624</v>
      </c>
      <c r="S142" s="13" t="s">
        <v>625</v>
      </c>
    </row>
    <row r="143" spans="1:19">
      <c r="A143">
        <v>142</v>
      </c>
      <c r="B143" s="1" t="s">
        <v>626</v>
      </c>
      <c r="C143" s="5" t="str">
        <f>HYPERLINK(tab_alap[[#This Row],[Link]], "Megnyitás ↗")</f>
        <v>Megnyitás ↗</v>
      </c>
      <c r="D143">
        <v>54</v>
      </c>
      <c r="E143">
        <v>47500</v>
      </c>
      <c r="F143">
        <v>30</v>
      </c>
      <c r="G143" s="4">
        <f>tab_alap[[#This Row],[Ár]]/tab_alap[[#This Row],[Nm]]</f>
        <v>1583.3333333333333</v>
      </c>
      <c r="H143">
        <v>1</v>
      </c>
      <c r="I143" s="3" t="s">
        <v>28</v>
      </c>
      <c r="J143" s="5" t="str">
        <f>HYPERLINK("https://www.google.com/maps/search/?api=1&amp;query=" &amp; tab_alap[[#This Row],[Y]] &amp; "," &amp; tab_alap[[#This Row],[X]], "Megnyitás")</f>
        <v>Megnyitás</v>
      </c>
      <c r="K143" s="15" t="b">
        <v>0</v>
      </c>
      <c r="L143" t="s">
        <v>21</v>
      </c>
      <c r="M143" t="str">
        <f>LEFT(tab_alap[[#This Row],[állapot]],1) &amp; tab_alap[[#This Row],[Térképjelölés]]</f>
        <v>f54</v>
      </c>
      <c r="N143" s="14" t="str">
        <f>_xlfn.XLOOKUP(tab_alap[[#This Row],[azonosito]], Koordinatak[azonosito_1], Koordinatak[X_1], "-")</f>
        <v>25.800811</v>
      </c>
      <c r="O143" t="str">
        <f>_xlfn.XLOOKUP(tab_alap[[#This Row],[azonosito]], Koordinatak[azonosito_1], Koordinatak[Y_1], "-")</f>
        <v>45.8629034</v>
      </c>
      <c r="Q143" s="13" t="s">
        <v>627</v>
      </c>
      <c r="R143" s="13" t="s">
        <v>628</v>
      </c>
      <c r="S143" s="13" t="s">
        <v>629</v>
      </c>
    </row>
    <row r="144" spans="1:19">
      <c r="A144">
        <v>143</v>
      </c>
      <c r="B144" s="1" t="s">
        <v>630</v>
      </c>
      <c r="C144" s="5" t="str">
        <f>HYPERLINK(tab_alap[[#This Row],[Link]], "Megnyitás ↗")</f>
        <v>Megnyitás ↗</v>
      </c>
      <c r="D144">
        <v>55</v>
      </c>
      <c r="E144">
        <v>47400</v>
      </c>
      <c r="F144">
        <v>30</v>
      </c>
      <c r="G144" s="4">
        <f>tab_alap[[#This Row],[Ár]]/tab_alap[[#This Row],[Nm]]</f>
        <v>1580</v>
      </c>
      <c r="H144">
        <v>1</v>
      </c>
      <c r="I144" s="3" t="s">
        <v>130</v>
      </c>
      <c r="J144" s="5" t="str">
        <f>HYPERLINK("https://www.google.com/maps/search/?api=1&amp;query=" &amp; tab_alap[[#This Row],[Y]] &amp; "," &amp; tab_alap[[#This Row],[X]], "Megnyitás")</f>
        <v>Megnyitás</v>
      </c>
      <c r="K144" s="15" t="b">
        <v>0</v>
      </c>
      <c r="L144" t="s">
        <v>21</v>
      </c>
      <c r="M144" t="str">
        <f>LEFT(tab_alap[[#This Row],[állapot]],1) &amp; tab_alap[[#This Row],[Térképjelölés]]</f>
        <v>f55</v>
      </c>
      <c r="N144" s="14" t="str">
        <f>_xlfn.XLOOKUP(tab_alap[[#This Row],[azonosito]], Koordinatak[azonosito_1], Koordinatak[X_1], "-")</f>
        <v>25.7966757</v>
      </c>
      <c r="O144" t="str">
        <f>_xlfn.XLOOKUP(tab_alap[[#This Row],[azonosito]], Koordinatak[azonosito_1], Koordinatak[Y_1], "-")</f>
        <v>45.8639801</v>
      </c>
      <c r="Q144" s="13" t="s">
        <v>631</v>
      </c>
      <c r="R144" s="13" t="s">
        <v>632</v>
      </c>
      <c r="S144" s="13" t="s">
        <v>633</v>
      </c>
    </row>
    <row r="145" spans="1:19">
      <c r="A145">
        <v>144</v>
      </c>
      <c r="B145" s="1" t="s">
        <v>634</v>
      </c>
      <c r="C145" s="5" t="str">
        <f>HYPERLINK(tab_alap[[#This Row],[Link]], "Megnyitás ↗")</f>
        <v>Megnyitás ↗</v>
      </c>
      <c r="D145">
        <v>56</v>
      </c>
      <c r="E145">
        <v>47000</v>
      </c>
      <c r="F145">
        <v>53</v>
      </c>
      <c r="G145" s="4">
        <f>tab_alap[[#This Row],[Ár]]/tab_alap[[#This Row],[Nm]]</f>
        <v>886.79245283018872</v>
      </c>
      <c r="H14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45" s="3" t="s">
        <v>635</v>
      </c>
      <c r="J145" s="5" t="str">
        <f>HYPERLINK("https://www.google.com/maps/search/?api=1&amp;query=" &amp; tab_alap[[#This Row],[Y]] &amp; "," &amp; tab_alap[[#This Row],[X]], "Megnyitás")</f>
        <v>Megnyitás</v>
      </c>
      <c r="K145" s="15" t="b">
        <v>0</v>
      </c>
      <c r="L145" t="s">
        <v>21</v>
      </c>
      <c r="M145" t="str">
        <f>LEFT(tab_alap[[#This Row],[állapot]],1) &amp; tab_alap[[#This Row],[Térképjelölés]]</f>
        <v>f56</v>
      </c>
      <c r="N145" s="14" t="str">
        <f>_xlfn.XLOOKUP(tab_alap[[#This Row],[azonosito]], Koordinatak[azonosito_1], Koordinatak[X_1], "-")</f>
        <v>25.7796514</v>
      </c>
      <c r="O145" t="str">
        <f>_xlfn.XLOOKUP(tab_alap[[#This Row],[azonosito]], Koordinatak[azonosito_1], Koordinatak[Y_1], "-")</f>
        <v>45.8697305</v>
      </c>
      <c r="Q145" s="13" t="s">
        <v>636</v>
      </c>
      <c r="R145" s="13" t="s">
        <v>637</v>
      </c>
      <c r="S145" s="13" t="s">
        <v>638</v>
      </c>
    </row>
    <row r="146" spans="1:19">
      <c r="A146">
        <v>145</v>
      </c>
      <c r="B146" s="1" t="s">
        <v>639</v>
      </c>
      <c r="C146" s="5" t="str">
        <f>HYPERLINK(tab_alap[[#This Row],[Link]], "Megnyitás ↗")</f>
        <v>Megnyitás ↗</v>
      </c>
      <c r="D146">
        <v>54</v>
      </c>
      <c r="E146">
        <v>46800</v>
      </c>
      <c r="F146">
        <v>27</v>
      </c>
      <c r="G146" s="4">
        <f>tab_alap[[#This Row],[Ár]]/tab_alap[[#This Row],[Nm]]</f>
        <v>1733.3333333333333</v>
      </c>
      <c r="H146">
        <v>1</v>
      </c>
      <c r="I146" s="3" t="s">
        <v>130</v>
      </c>
      <c r="J146" s="5" t="str">
        <f>HYPERLINK("https://www.google.com/maps/search/?api=1&amp;query=" &amp; tab_alap[[#This Row],[Y]] &amp; "," &amp; tab_alap[[#This Row],[X]], "Megnyitás")</f>
        <v>Megnyitás</v>
      </c>
      <c r="K146" s="15" t="b">
        <v>0</v>
      </c>
      <c r="L146" t="s">
        <v>63</v>
      </c>
      <c r="M146" t="str">
        <f>LEFT(tab_alap[[#This Row],[állapot]],1) &amp; tab_alap[[#This Row],[Térképjelölés]]</f>
        <v>r54</v>
      </c>
      <c r="N146" s="14" t="str">
        <f>_xlfn.XLOOKUP(tab_alap[[#This Row],[azonosito]], Koordinatak[azonosito_1], Koordinatak[X_1], "-")</f>
        <v>25.7959873</v>
      </c>
      <c r="O146" t="str">
        <f>_xlfn.XLOOKUP(tab_alap[[#This Row],[azonosito]], Koordinatak[azonosito_1], Koordinatak[Y_1], "-")</f>
        <v>45.8600436</v>
      </c>
      <c r="Q146" s="13" t="s">
        <v>640</v>
      </c>
      <c r="R146" s="13" t="s">
        <v>641</v>
      </c>
      <c r="S146" s="13" t="s">
        <v>642</v>
      </c>
    </row>
    <row r="147" spans="1:19">
      <c r="A147">
        <v>146</v>
      </c>
      <c r="B147" s="5" t="s">
        <v>643</v>
      </c>
      <c r="C147" s="5" t="str">
        <f>HYPERLINK(tab_alap[[#This Row],[Link]], "Megnyitás ↗")</f>
        <v>Megnyitás ↗</v>
      </c>
      <c r="D147">
        <v>55</v>
      </c>
      <c r="E147">
        <v>45500</v>
      </c>
      <c r="F147">
        <v>30</v>
      </c>
      <c r="G147" s="4">
        <f>tab_alap[[#This Row],[Ár]]/tab_alap[[#This Row],[Nm]]</f>
        <v>1516.6666666666667</v>
      </c>
      <c r="H147">
        <v>1</v>
      </c>
      <c r="I147" s="3" t="s">
        <v>20</v>
      </c>
      <c r="J147" s="5" t="str">
        <f>HYPERLINK("https://www.google.com/maps/search/?api=1&amp;query=" &amp; tab_alap[[#This Row],[Y]] &amp; "," &amp; tab_alap[[#This Row],[X]], "Megnyitás")</f>
        <v>Megnyitás</v>
      </c>
      <c r="K147" s="15" t="b">
        <v>0</v>
      </c>
      <c r="L147" t="s">
        <v>63</v>
      </c>
      <c r="M147" t="str">
        <f>LEFT(tab_alap[[#This Row],[állapot]],1) &amp; tab_alap[[#This Row],[Térképjelölés]]</f>
        <v>r55</v>
      </c>
      <c r="N147" s="14" t="str">
        <f>_xlfn.XLOOKUP(tab_alap[[#This Row],[azonosito]], Koordinatak[azonosito_1], Koordinatak[X_1], "-")</f>
        <v>25.7985515</v>
      </c>
      <c r="O147" t="str">
        <f>_xlfn.XLOOKUP(tab_alap[[#This Row],[azonosito]], Koordinatak[azonosito_1], Koordinatak[Y_1], "-")</f>
        <v>45.861833</v>
      </c>
      <c r="Q147" s="13" t="s">
        <v>644</v>
      </c>
      <c r="R147" s="13" t="s">
        <v>645</v>
      </c>
      <c r="S147" s="13" t="s">
        <v>646</v>
      </c>
    </row>
    <row r="148" spans="1:19">
      <c r="A148">
        <v>147</v>
      </c>
      <c r="B148" s="1" t="s">
        <v>647</v>
      </c>
      <c r="C148" s="5" t="str">
        <f>HYPERLINK(tab_alap[[#This Row],[Link]], "Megnyitás ↗")</f>
        <v>Megnyitás ↗</v>
      </c>
      <c r="D148">
        <v>57</v>
      </c>
      <c r="E148">
        <v>45500</v>
      </c>
      <c r="F148">
        <v>24</v>
      </c>
      <c r="G148" s="4">
        <f>tab_alap[[#This Row],[Ár]]/tab_alap[[#This Row],[Nm]]</f>
        <v>1895.8333333333333</v>
      </c>
      <c r="H148">
        <v>1</v>
      </c>
      <c r="I148" s="3" t="s">
        <v>76</v>
      </c>
      <c r="J148" s="5" t="str">
        <f>HYPERLINK("https://www.google.com/maps/search/?api=1&amp;query=" &amp; tab_alap[[#This Row],[Y]] &amp; "," &amp; tab_alap[[#This Row],[X]], "Megnyitás")</f>
        <v>Megnyitás</v>
      </c>
      <c r="K148" s="15" t="b">
        <v>0</v>
      </c>
      <c r="L148" t="s">
        <v>21</v>
      </c>
      <c r="M148" t="str">
        <f>LEFT(tab_alap[[#This Row],[állapot]],1) &amp; tab_alap[[#This Row],[Térképjelölés]]</f>
        <v>f57</v>
      </c>
      <c r="N148" s="14" t="str">
        <f>_xlfn.XLOOKUP(tab_alap[[#This Row],[azonosito]], Koordinatak[azonosito_1], Koordinatak[X_1], "-")</f>
        <v>25.7964126</v>
      </c>
      <c r="O148" t="str">
        <f>_xlfn.XLOOKUP(tab_alap[[#This Row],[azonosito]], Koordinatak[azonosito_1], Koordinatak[Y_1], "-")</f>
        <v>45.8645435</v>
      </c>
      <c r="Q148" s="13" t="s">
        <v>648</v>
      </c>
      <c r="R148" s="13" t="s">
        <v>649</v>
      </c>
      <c r="S148" s="13" t="s">
        <v>650</v>
      </c>
    </row>
    <row r="149" spans="1:19">
      <c r="A149">
        <v>148</v>
      </c>
      <c r="B149" s="1" t="s">
        <v>651</v>
      </c>
      <c r="C149" s="5" t="str">
        <f>HYPERLINK(tab_alap[[#This Row],[Link]], "Megnyitás ↗")</f>
        <v>Megnyitás ↗</v>
      </c>
      <c r="D149">
        <v>58</v>
      </c>
      <c r="E149">
        <v>45000</v>
      </c>
      <c r="F149">
        <v>28</v>
      </c>
      <c r="G149" s="4">
        <f>tab_alap[[#This Row],[Ár]]/tab_alap[[#This Row],[Nm]]</f>
        <v>1607.1428571428571</v>
      </c>
      <c r="H149">
        <v>1</v>
      </c>
      <c r="I149" s="3" t="s">
        <v>28</v>
      </c>
      <c r="J149" s="5" t="str">
        <f>HYPERLINK("https://www.google.com/maps/search/?api=1&amp;query=" &amp; tab_alap[[#This Row],[Y]] &amp; "," &amp; tab_alap[[#This Row],[X]], "Megnyitás")</f>
        <v>Megnyitás</v>
      </c>
      <c r="K149" s="15" t="b">
        <v>0</v>
      </c>
      <c r="L149" t="s">
        <v>21</v>
      </c>
      <c r="M149" t="str">
        <f>LEFT(tab_alap[[#This Row],[állapot]],1) &amp; tab_alap[[#This Row],[Térképjelölés]]</f>
        <v>f58</v>
      </c>
      <c r="N149" s="14" t="str">
        <f>_xlfn.XLOOKUP(tab_alap[[#This Row],[azonosito]], Koordinatak[azonosito_1], Koordinatak[X_1], "-")</f>
        <v>25.7936576</v>
      </c>
      <c r="O149" t="str">
        <f>_xlfn.XLOOKUP(tab_alap[[#This Row],[azonosito]], Koordinatak[azonosito_1], Koordinatak[Y_1], "-")</f>
        <v>45.8592097</v>
      </c>
      <c r="Q149" s="13" t="s">
        <v>652</v>
      </c>
      <c r="R149" s="13" t="s">
        <v>653</v>
      </c>
      <c r="S149" s="13" t="s">
        <v>654</v>
      </c>
    </row>
    <row r="150" spans="1:19">
      <c r="A150">
        <v>149</v>
      </c>
      <c r="B150" s="1" t="s">
        <v>655</v>
      </c>
      <c r="C150" s="5" t="str">
        <f>HYPERLINK(tab_alap[[#This Row],[Link]], "Megnyitás ↗")</f>
        <v>Megnyitás ↗</v>
      </c>
      <c r="D150">
        <v>59</v>
      </c>
      <c r="E150">
        <v>45000</v>
      </c>
      <c r="F150">
        <v>37</v>
      </c>
      <c r="G150" s="4">
        <f>tab_alap[[#This Row],[Ár]]/tab_alap[[#This Row],[Nm]]</f>
        <v>1216.2162162162163</v>
      </c>
      <c r="H150">
        <v>1</v>
      </c>
      <c r="I150" s="3" t="s">
        <v>76</v>
      </c>
      <c r="J150" s="5" t="str">
        <f>HYPERLINK("https://www.google.com/maps/search/?api=1&amp;query=" &amp; tab_alap[[#This Row],[Y]] &amp; "," &amp; tab_alap[[#This Row],[X]], "Megnyitás")</f>
        <v>Megnyitás</v>
      </c>
      <c r="K150" s="15" t="b">
        <v>0</v>
      </c>
      <c r="L150" t="s">
        <v>21</v>
      </c>
      <c r="M150" t="str">
        <f>LEFT(tab_alap[[#This Row],[állapot]],1) &amp; tab_alap[[#This Row],[Térképjelölés]]</f>
        <v>f59</v>
      </c>
      <c r="N150" s="14" t="str">
        <f>_xlfn.XLOOKUP(tab_alap[[#This Row],[azonosito]], Koordinatak[azonosito_1], Koordinatak[X_1], "-")</f>
        <v>25.7929602</v>
      </c>
      <c r="O150" t="str">
        <f>_xlfn.XLOOKUP(tab_alap[[#This Row],[azonosito]], Koordinatak[azonosito_1], Koordinatak[Y_1], "-")</f>
        <v>45.8594413</v>
      </c>
      <c r="Q150" s="13" t="s">
        <v>656</v>
      </c>
      <c r="R150" s="13" t="s">
        <v>657</v>
      </c>
      <c r="S150" s="13" t="s">
        <v>658</v>
      </c>
    </row>
    <row r="151" spans="1:19">
      <c r="A151">
        <v>150</v>
      </c>
      <c r="B151" s="1" t="s">
        <v>659</v>
      </c>
      <c r="C151" s="5" t="str">
        <f>HYPERLINK(tab_alap[[#This Row],[Link]], "Megnyitás ↗")</f>
        <v>Megnyitás ↗</v>
      </c>
      <c r="D151">
        <v>60</v>
      </c>
      <c r="E151">
        <v>44000</v>
      </c>
      <c r="F151">
        <v>28</v>
      </c>
      <c r="G151" s="4">
        <f>tab_alap[[#This Row],[Ár]]/tab_alap[[#This Row],[Nm]]</f>
        <v>1571.4285714285713</v>
      </c>
      <c r="H151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2</v>
      </c>
      <c r="I151" s="3" t="s">
        <v>130</v>
      </c>
      <c r="J151" s="5" t="str">
        <f>HYPERLINK("https://www.google.com/maps/search/?api=1&amp;query=" &amp; tab_alap[[#This Row],[Y]] &amp; "," &amp; tab_alap[[#This Row],[X]], "Megnyitás")</f>
        <v>Megnyitás</v>
      </c>
      <c r="K151" s="15" t="b">
        <v>0</v>
      </c>
      <c r="L151" t="s">
        <v>21</v>
      </c>
      <c r="M151" t="str">
        <f>LEFT(tab_alap[[#This Row],[állapot]],1) &amp; tab_alap[[#This Row],[Térképjelölés]]</f>
        <v>f60</v>
      </c>
      <c r="N151" s="14" t="str">
        <f>_xlfn.XLOOKUP(tab_alap[[#This Row],[azonosito]], Koordinatak[azonosito_1], Koordinatak[X_1], "-")</f>
        <v>25.7763891</v>
      </c>
      <c r="O151" t="str">
        <f>_xlfn.XLOOKUP(tab_alap[[#This Row],[azonosito]], Koordinatak[azonosito_1], Koordinatak[Y_1], "-")</f>
        <v>45.8599196</v>
      </c>
      <c r="Q151" s="13" t="s">
        <v>660</v>
      </c>
      <c r="R151" s="13" t="s">
        <v>661</v>
      </c>
      <c r="S151" s="13" t="s">
        <v>662</v>
      </c>
    </row>
    <row r="152" spans="1:19">
      <c r="A152">
        <v>152</v>
      </c>
      <c r="B152" s="1" t="s">
        <v>663</v>
      </c>
      <c r="C152" s="5" t="str">
        <f>HYPERLINK(tab_alap[[#This Row],[Link]], "Megnyitás ↗")</f>
        <v>Megnyitás ↗</v>
      </c>
      <c r="D152">
        <v>61</v>
      </c>
      <c r="E152">
        <v>40000</v>
      </c>
      <c r="F152">
        <v>28</v>
      </c>
      <c r="G152" s="4">
        <f>tab_alap[[#This Row],[Ár]]/tab_alap[[#This Row],[Nm]]</f>
        <v>1428.5714285714287</v>
      </c>
      <c r="H152">
        <v>1</v>
      </c>
      <c r="I152" s="3" t="s">
        <v>28</v>
      </c>
      <c r="J152" s="5" t="str">
        <f>HYPERLINK("https://www.google.com/maps/search/?api=1&amp;query=" &amp; tab_alap[[#This Row],[Y]] &amp; "," &amp; tab_alap[[#This Row],[X]], "Megnyitás")</f>
        <v>Megnyitás</v>
      </c>
      <c r="K152" s="15" t="b">
        <v>0</v>
      </c>
      <c r="L152" t="s">
        <v>21</v>
      </c>
      <c r="M152" t="str">
        <f>LEFT(tab_alap[[#This Row],[állapot]],1) &amp; tab_alap[[#This Row],[Térképjelölés]]</f>
        <v>f61</v>
      </c>
      <c r="N152" s="14" t="str">
        <f>_xlfn.XLOOKUP(tab_alap[[#This Row],[azonosito]], Koordinatak[azonosito_1], Koordinatak[X_1], "-")</f>
        <v>25.7947176</v>
      </c>
      <c r="O152" t="str">
        <f>_xlfn.XLOOKUP(tab_alap[[#This Row],[azonosito]], Koordinatak[azonosito_1], Koordinatak[Y_1], "-")</f>
        <v>45.8622505</v>
      </c>
      <c r="Q152" s="13" t="s">
        <v>664</v>
      </c>
      <c r="R152" s="13" t="s">
        <v>665</v>
      </c>
      <c r="S152" s="13" t="s">
        <v>666</v>
      </c>
    </row>
    <row r="153" spans="1:19">
      <c r="A153">
        <v>153</v>
      </c>
      <c r="B153" s="1" t="s">
        <v>667</v>
      </c>
      <c r="C153" s="5" t="str">
        <f>HYPERLINK(tab_alap[[#This Row],[Link]], "Megnyitás ↗")</f>
        <v>Megnyitás ↗</v>
      </c>
      <c r="D153">
        <v>56</v>
      </c>
      <c r="E153">
        <v>39999</v>
      </c>
      <c r="F153">
        <v>28</v>
      </c>
      <c r="G153" s="4">
        <f>tab_alap[[#This Row],[Ár]]/tab_alap[[#This Row],[Nm]]</f>
        <v>1428.5357142857142</v>
      </c>
      <c r="H153">
        <v>1</v>
      </c>
      <c r="I153" s="3" t="s">
        <v>28</v>
      </c>
      <c r="J153" s="5" t="str">
        <f>HYPERLINK("https://www.google.com/maps/search/?api=1&amp;query=" &amp; tab_alap[[#This Row],[Y]] &amp; "," &amp; tab_alap[[#This Row],[X]], "Megnyitás")</f>
        <v>Megnyitás</v>
      </c>
      <c r="K153" s="15" t="b">
        <v>0</v>
      </c>
      <c r="L153" t="s">
        <v>63</v>
      </c>
      <c r="M153" t="str">
        <f>LEFT(tab_alap[[#This Row],[állapot]],1) &amp; tab_alap[[#This Row],[Térképjelölés]]</f>
        <v>r56</v>
      </c>
      <c r="N153" s="14" t="str">
        <f>_xlfn.XLOOKUP(tab_alap[[#This Row],[azonosito]], Koordinatak[azonosito_1], Koordinatak[X_1], "-")</f>
        <v>25.7954794</v>
      </c>
      <c r="O153" t="str">
        <f>_xlfn.XLOOKUP(tab_alap[[#This Row],[azonosito]], Koordinatak[azonosito_1], Koordinatak[Y_1], "-")</f>
        <v>45.8677566</v>
      </c>
      <c r="Q153" s="20" t="s">
        <v>668</v>
      </c>
      <c r="R153" s="13" t="s">
        <v>669</v>
      </c>
      <c r="S153" s="13" t="s">
        <v>670</v>
      </c>
    </row>
    <row r="154" spans="1:19">
      <c r="A154">
        <v>154</v>
      </c>
      <c r="B154" s="17" t="s">
        <v>671</v>
      </c>
      <c r="C154" t="str">
        <f>HYPERLINK(tab_alap[[#This Row],[Link]], "Megnyitás ↗")</f>
        <v>Megnyitás ↗</v>
      </c>
      <c r="D154">
        <v>57</v>
      </c>
      <c r="E154">
        <v>39000</v>
      </c>
      <c r="F154">
        <v>21</v>
      </c>
      <c r="G154" s="4">
        <f>tab_alap[[#This Row],[Ár]]/tab_alap[[#This Row],[Nm]]</f>
        <v>1857.1428571428571</v>
      </c>
      <c r="H154">
        <v>1</v>
      </c>
      <c r="I154" s="3" t="s">
        <v>28</v>
      </c>
      <c r="J154" s="5" t="str">
        <f>HYPERLINK("https://www.google.com/maps/search/?api=1&amp;query=" &amp; tab_alap[[#This Row],[Y]] &amp; "," &amp; tab_alap[[#This Row],[X]], "Megnyitás")</f>
        <v>Megnyitás</v>
      </c>
      <c r="K154" s="15" t="b">
        <v>0</v>
      </c>
      <c r="L154" t="s">
        <v>63</v>
      </c>
      <c r="M154" t="str">
        <f>LEFT(tab_alap[[#This Row],[állapot]],1) &amp; tab_alap[[#This Row],[Térképjelölés]]</f>
        <v>r57</v>
      </c>
      <c r="N154" s="14" t="str">
        <f>_xlfn.XLOOKUP(tab_alap[[#This Row],[azonosito]], Koordinatak[azonosito_1], Koordinatak[X_1], "-")</f>
        <v>25.7960429</v>
      </c>
      <c r="O154" t="str">
        <f>_xlfn.XLOOKUP(tab_alap[[#This Row],[azonosito]], Koordinatak[azonosito_1], Koordinatak[Y_1], "-")</f>
        <v>45.8694979</v>
      </c>
      <c r="Q154" s="13" t="s">
        <v>22</v>
      </c>
      <c r="R154" s="20" t="s">
        <v>23</v>
      </c>
      <c r="S154" s="13" t="s">
        <v>672</v>
      </c>
    </row>
    <row r="155" spans="1:19">
      <c r="A155" s="4">
        <v>155</v>
      </c>
      <c r="B155" s="17" t="s">
        <v>673</v>
      </c>
      <c r="C155" s="5" t="str">
        <f>HYPERLINK(tab_alap[[#This Row],[Link]], "Megnyitás ↗")</f>
        <v>Megnyitás ↗</v>
      </c>
      <c r="D155">
        <v>34</v>
      </c>
      <c r="E155">
        <v>139000</v>
      </c>
      <c r="F155">
        <v>73</v>
      </c>
      <c r="G155" s="4">
        <f>tab_alap[[#This Row],[Ár]]/tab_alap[[#This Row],[Nm]]</f>
        <v>1904.1095890410959</v>
      </c>
      <c r="H155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4</v>
      </c>
      <c r="I155" s="3" t="s">
        <v>58</v>
      </c>
      <c r="J155" s="5" t="str">
        <f>HYPERLINK("https://www.google.com/maps/search/?api=1&amp;query=" &amp; tab_alap[[#This Row],[Y]] &amp; "," &amp; tab_alap[[#This Row],[X]], "Megnyitás")</f>
        <v>Megnyitás</v>
      </c>
      <c r="K155" s="18" t="b">
        <v>0</v>
      </c>
      <c r="L155" s="15" t="s">
        <v>29</v>
      </c>
      <c r="M155" s="4" t="str">
        <f>LEFT(tab_alap[[#This Row],[állapot]],1) &amp; tab_alap[[#This Row],[Térképjelölés]]</f>
        <v>j34</v>
      </c>
      <c r="N155" s="19" t="str">
        <f>_xlfn.XLOOKUP(tab_alap[[#This Row],[azonosito]], Koordinatak[azonosito_1], Koordinatak[X_1], "-")</f>
        <v>25.79987</v>
      </c>
      <c r="O155" s="4" t="str">
        <f>_xlfn.XLOOKUP(tab_alap[[#This Row],[azonosito]], Koordinatak[azonosito_1], Koordinatak[Y_1], "-")</f>
        <v>45.85904</v>
      </c>
      <c r="Q155" s="13"/>
      <c r="R155" s="13"/>
      <c r="S155" s="13"/>
    </row>
    <row r="156" spans="1:19">
      <c r="A156" s="4">
        <v>156</v>
      </c>
      <c r="B156" s="17"/>
      <c r="C156" s="5" t="str">
        <f>HYPERLINK(tab_alap[[#This Row],[Link]], "Megnyitás ↗")</f>
        <v>Megnyitás ↗</v>
      </c>
      <c r="G156" s="4" t="e">
        <f>tab_alap[[#This Row],[Ár]]/tab_alap[[#This Row],[Nm]]</f>
        <v>#DIV/0!</v>
      </c>
      <c r="H156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56" s="5" t="str">
        <f>HYPERLINK("https://www.google.com/maps/search/?api=1&amp;query=" &amp; tab_alap[[#This Row],[Y]] &amp; "," &amp; tab_alap[[#This Row],[X]], "Megnyitás")</f>
        <v>Megnyitás</v>
      </c>
      <c r="K156" s="18" t="b">
        <v>0</v>
      </c>
      <c r="L156" s="4"/>
      <c r="M156" s="4" t="str">
        <f>LEFT(tab_alap[[#This Row],[állapot]],1) &amp; tab_alap[[#This Row],[Térképjelölés]]</f>
        <v/>
      </c>
      <c r="N156" s="19" t="str">
        <f>_xlfn.XLOOKUP(tab_alap[[#This Row],[azonosito]], Koordinatak[azonosito_1], Koordinatak[X_1], "-")</f>
        <v>-</v>
      </c>
      <c r="O156" s="4" t="str">
        <f>_xlfn.XLOOKUP(tab_alap[[#This Row],[azonosito]], Koordinatak[azonosito_1], Koordinatak[Y_1], "-")</f>
        <v>-</v>
      </c>
      <c r="Q156" s="13"/>
      <c r="R156" s="13"/>
      <c r="S156" s="13"/>
    </row>
    <row r="157" spans="1:19">
      <c r="A157" s="4">
        <v>157</v>
      </c>
      <c r="B157" s="17"/>
      <c r="C157" s="5" t="str">
        <f>HYPERLINK(tab_alap[[#This Row],[Link]], "Megnyitás ↗")</f>
        <v>Megnyitás ↗</v>
      </c>
      <c r="G157" s="4" t="e">
        <f>tab_alap[[#This Row],[Ár]]/tab_alap[[#This Row],[Nm]]</f>
        <v>#DIV/0!</v>
      </c>
      <c r="H157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57" s="5" t="str">
        <f>HYPERLINK("https://www.google.com/maps/search/?api=1&amp;query=" &amp; tab_alap[[#This Row],[Y]] &amp; "," &amp; tab_alap[[#This Row],[X]], "Megnyitás")</f>
        <v>Megnyitás</v>
      </c>
      <c r="K157" s="18" t="b">
        <v>0</v>
      </c>
      <c r="L157" s="4"/>
      <c r="M157" s="4" t="str">
        <f>LEFT(tab_alap[[#This Row],[állapot]],1) &amp; tab_alap[[#This Row],[Térképjelölés]]</f>
        <v/>
      </c>
      <c r="N157" s="19" t="str">
        <f>_xlfn.XLOOKUP(tab_alap[[#This Row],[azonosito]], Koordinatak[azonosito_1], Koordinatak[X_1], "-")</f>
        <v>-</v>
      </c>
      <c r="O157" s="4" t="str">
        <f>_xlfn.XLOOKUP(tab_alap[[#This Row],[azonosito]], Koordinatak[azonosito_1], Koordinatak[Y_1], "-")</f>
        <v>-</v>
      </c>
      <c r="Q157" s="13"/>
      <c r="R157" s="13"/>
      <c r="S157" s="13"/>
    </row>
    <row r="158" spans="1:19">
      <c r="A158" s="4">
        <v>158</v>
      </c>
      <c r="B158" s="17"/>
      <c r="C158" s="5" t="str">
        <f>HYPERLINK(tab_alap[[#This Row],[Link]], "Megnyitás ↗")</f>
        <v>Megnyitás ↗</v>
      </c>
      <c r="G158" s="4" t="e">
        <f>tab_alap[[#This Row],[Ár]]/tab_alap[[#This Row],[Nm]]</f>
        <v>#DIV/0!</v>
      </c>
      <c r="H158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58" s="5" t="str">
        <f>HYPERLINK("https://www.google.com/maps/search/?api=1&amp;query=" &amp; tab_alap[[#This Row],[Y]] &amp; "," &amp; tab_alap[[#This Row],[X]], "Megnyitás")</f>
        <v>Megnyitás</v>
      </c>
      <c r="K158" s="18" t="b">
        <v>0</v>
      </c>
      <c r="L158" s="4"/>
      <c r="M158" s="4" t="str">
        <f>LEFT(tab_alap[[#This Row],[állapot]],1) &amp; tab_alap[[#This Row],[Térképjelölés]]</f>
        <v/>
      </c>
      <c r="N158" s="19" t="str">
        <f>_xlfn.XLOOKUP(tab_alap[[#This Row],[azonosito]], Koordinatak[azonosito_1], Koordinatak[X_1], "-")</f>
        <v>-</v>
      </c>
      <c r="O158" s="4" t="str">
        <f>_xlfn.XLOOKUP(tab_alap[[#This Row],[azonosito]], Koordinatak[azonosito_1], Koordinatak[Y_1], "-")</f>
        <v>-</v>
      </c>
      <c r="Q158" s="13"/>
      <c r="R158" s="13"/>
      <c r="S158" s="13"/>
    </row>
    <row r="159" spans="1:19">
      <c r="A159" s="4">
        <v>159</v>
      </c>
      <c r="B159" s="17"/>
      <c r="C159" s="5" t="str">
        <f>HYPERLINK(tab_alap[[#This Row],[Link]], "Megnyitás ↗")</f>
        <v>Megnyitás ↗</v>
      </c>
      <c r="G159" s="4" t="e">
        <f>tab_alap[[#This Row],[Ár]]/tab_alap[[#This Row],[Nm]]</f>
        <v>#DIV/0!</v>
      </c>
      <c r="H159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59" s="5" t="str">
        <f>HYPERLINK("https://www.google.com/maps/search/?api=1&amp;query=" &amp; tab_alap[[#This Row],[Y]] &amp; "," &amp; tab_alap[[#This Row],[X]], "Megnyitás")</f>
        <v>Megnyitás</v>
      </c>
      <c r="K159" s="18" t="b">
        <v>0</v>
      </c>
      <c r="L159" s="4"/>
      <c r="M159" s="4" t="str">
        <f>LEFT(tab_alap[[#This Row],[állapot]],1) &amp; tab_alap[[#This Row],[Térképjelölés]]</f>
        <v/>
      </c>
      <c r="N159" s="19" t="str">
        <f>_xlfn.XLOOKUP(tab_alap[[#This Row],[azonosito]], Koordinatak[azonosito_1], Koordinatak[X_1], "-")</f>
        <v>-</v>
      </c>
      <c r="O159" s="4" t="str">
        <f>_xlfn.XLOOKUP(tab_alap[[#This Row],[azonosito]], Koordinatak[azonosito_1], Koordinatak[Y_1], "-")</f>
        <v>-</v>
      </c>
      <c r="Q159" s="13"/>
      <c r="R159" s="13"/>
      <c r="S159" s="13"/>
    </row>
    <row r="160" spans="1:19">
      <c r="A160" s="4">
        <v>160</v>
      </c>
      <c r="B160" s="17"/>
      <c r="C160" s="5" t="str">
        <f>HYPERLINK(tab_alap[[#This Row],[Link]], "Megnyitás ↗")</f>
        <v>Megnyitás ↗</v>
      </c>
      <c r="G160" s="4" t="e">
        <f>tab_alap[[#This Row],[Ár]]/tab_alap[[#This Row],[Nm]]</f>
        <v>#DIV/0!</v>
      </c>
      <c r="H160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0" s="5" t="str">
        <f>HYPERLINK("https://www.google.com/maps/search/?api=1&amp;query=" &amp; tab_alap[[#This Row],[Y]] &amp; "," &amp; tab_alap[[#This Row],[X]], "Megnyitás")</f>
        <v>Megnyitás</v>
      </c>
      <c r="K160" s="18" t="b">
        <v>0</v>
      </c>
      <c r="L160" s="4"/>
      <c r="M160" s="4" t="str">
        <f>LEFT(tab_alap[[#This Row],[állapot]],1) &amp; tab_alap[[#This Row],[Térképjelölés]]</f>
        <v/>
      </c>
      <c r="N160" s="19" t="str">
        <f>_xlfn.XLOOKUP(tab_alap[[#This Row],[azonosito]], Koordinatak[azonosito_1], Koordinatak[X_1], "-")</f>
        <v>-</v>
      </c>
      <c r="O160" s="4" t="str">
        <f>_xlfn.XLOOKUP(tab_alap[[#This Row],[azonosito]], Koordinatak[azonosito_1], Koordinatak[Y_1], "-")</f>
        <v>-</v>
      </c>
      <c r="Q160" s="13"/>
      <c r="R160" s="13"/>
      <c r="S160" s="13"/>
    </row>
    <row r="161" spans="1:19">
      <c r="A161" s="4">
        <v>161</v>
      </c>
      <c r="B161" s="17"/>
      <c r="C161" s="5" t="str">
        <f>HYPERLINK(tab_alap[[#This Row],[Link]], "Megnyitás ↗")</f>
        <v>Megnyitás ↗</v>
      </c>
      <c r="G161" s="4" t="e">
        <f>tab_alap[[#This Row],[Ár]]/tab_alap[[#This Row],[Nm]]</f>
        <v>#DIV/0!</v>
      </c>
      <c r="H161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1" s="5" t="str">
        <f>HYPERLINK("https://www.google.com/maps/search/?api=1&amp;query=" &amp; tab_alap[[#This Row],[Y]] &amp; "," &amp; tab_alap[[#This Row],[X]], "Megnyitás")</f>
        <v>Megnyitás</v>
      </c>
      <c r="K161" s="18" t="b">
        <v>0</v>
      </c>
      <c r="L161" s="4"/>
      <c r="M161" s="4" t="str">
        <f>LEFT(tab_alap[[#This Row],[állapot]],1) &amp; tab_alap[[#This Row],[Térképjelölés]]</f>
        <v/>
      </c>
      <c r="N161" s="19" t="str">
        <f>_xlfn.XLOOKUP(tab_alap[[#This Row],[azonosito]], Koordinatak[azonosito_1], Koordinatak[X_1], "-")</f>
        <v>-</v>
      </c>
      <c r="O161" s="4" t="str">
        <f>_xlfn.XLOOKUP(tab_alap[[#This Row],[azonosito]], Koordinatak[azonosito_1], Koordinatak[Y_1], "-")</f>
        <v>-</v>
      </c>
      <c r="Q161" s="13"/>
      <c r="R161" s="13"/>
      <c r="S161" s="13"/>
    </row>
    <row r="162" spans="1:19">
      <c r="A162" s="4">
        <v>162</v>
      </c>
      <c r="B162" s="17"/>
      <c r="C162" s="5" t="str">
        <f>HYPERLINK(tab_alap[[#This Row],[Link]], "Megnyitás ↗")</f>
        <v>Megnyitás ↗</v>
      </c>
      <c r="G162" s="4" t="e">
        <f>tab_alap[[#This Row],[Ár]]/tab_alap[[#This Row],[Nm]]</f>
        <v>#DIV/0!</v>
      </c>
      <c r="H162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2" s="5" t="str">
        <f>HYPERLINK("https://www.google.com/maps/search/?api=1&amp;query=" &amp; tab_alap[[#This Row],[Y]] &amp; "," &amp; tab_alap[[#This Row],[X]], "Megnyitás")</f>
        <v>Megnyitás</v>
      </c>
      <c r="K162" s="18" t="b">
        <v>0</v>
      </c>
      <c r="L162" s="4"/>
      <c r="M162" s="4" t="str">
        <f>LEFT(tab_alap[[#This Row],[állapot]],1) &amp; tab_alap[[#This Row],[Térképjelölés]]</f>
        <v/>
      </c>
      <c r="N162" s="19" t="str">
        <f>_xlfn.XLOOKUP(tab_alap[[#This Row],[azonosito]], Koordinatak[azonosito_1], Koordinatak[X_1], "-")</f>
        <v>-</v>
      </c>
      <c r="O162" s="4" t="str">
        <f>_xlfn.XLOOKUP(tab_alap[[#This Row],[azonosito]], Koordinatak[azonosito_1], Koordinatak[Y_1], "-")</f>
        <v>-</v>
      </c>
      <c r="Q162" s="13"/>
      <c r="R162" s="13"/>
      <c r="S162" s="13"/>
    </row>
    <row r="163" spans="1:19">
      <c r="A163" s="4">
        <v>163</v>
      </c>
      <c r="B163" s="17"/>
      <c r="C163" s="5" t="str">
        <f>HYPERLINK(tab_alap[[#This Row],[Link]], "Megnyitás ↗")</f>
        <v>Megnyitás ↗</v>
      </c>
      <c r="G163" s="4" t="e">
        <f>tab_alap[[#This Row],[Ár]]/tab_alap[[#This Row],[Nm]]</f>
        <v>#DIV/0!</v>
      </c>
      <c r="H163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3" s="5" t="str">
        <f>HYPERLINK("https://www.google.com/maps/search/?api=1&amp;query=" &amp; tab_alap[[#This Row],[Y]] &amp; "," &amp; tab_alap[[#This Row],[X]], "Megnyitás")</f>
        <v>Megnyitás</v>
      </c>
      <c r="K163" s="18" t="b">
        <v>0</v>
      </c>
      <c r="L163" s="4"/>
      <c r="M163" s="4" t="str">
        <f>LEFT(tab_alap[[#This Row],[állapot]],1) &amp; tab_alap[[#This Row],[Térképjelölés]]</f>
        <v/>
      </c>
      <c r="N163" s="19" t="str">
        <f>_xlfn.XLOOKUP(tab_alap[[#This Row],[azonosito]], Koordinatak[azonosito_1], Koordinatak[X_1], "-")</f>
        <v>-</v>
      </c>
      <c r="O163" s="4" t="str">
        <f>_xlfn.XLOOKUP(tab_alap[[#This Row],[azonosito]], Koordinatak[azonosito_1], Koordinatak[Y_1], "-")</f>
        <v>-</v>
      </c>
      <c r="Q163" s="13"/>
      <c r="R163" s="13"/>
      <c r="S163" s="13"/>
    </row>
    <row r="164" spans="1:19">
      <c r="A164" s="4">
        <v>164</v>
      </c>
      <c r="B164" s="17"/>
      <c r="C164" s="5" t="str">
        <f>HYPERLINK(tab_alap[[#This Row],[Link]], "Megnyitás ↗")</f>
        <v>Megnyitás ↗</v>
      </c>
      <c r="G164" s="4" t="e">
        <f>tab_alap[[#This Row],[Ár]]/tab_alap[[#This Row],[Nm]]</f>
        <v>#DIV/0!</v>
      </c>
      <c r="H164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4" s="5" t="str">
        <f>HYPERLINK("https://www.google.com/maps/search/?api=1&amp;query=" &amp; tab_alap[[#This Row],[Y]] &amp; "," &amp; tab_alap[[#This Row],[X]], "Megnyitás")</f>
        <v>Megnyitás</v>
      </c>
      <c r="K164" s="18" t="b">
        <v>0</v>
      </c>
      <c r="L164" s="4"/>
      <c r="M164" s="4" t="str">
        <f>LEFT(tab_alap[[#This Row],[állapot]],1) &amp; tab_alap[[#This Row],[Térképjelölés]]</f>
        <v/>
      </c>
      <c r="N164" s="19" t="str">
        <f>_xlfn.XLOOKUP(tab_alap[[#This Row],[azonosito]], Koordinatak[azonosito_1], Koordinatak[X_1], "-")</f>
        <v>-</v>
      </c>
      <c r="O164" s="4" t="str">
        <f>_xlfn.XLOOKUP(tab_alap[[#This Row],[azonosito]], Koordinatak[azonosito_1], Koordinatak[Y_1], "-")</f>
        <v>-</v>
      </c>
      <c r="Q164" s="13"/>
      <c r="R164" s="13"/>
      <c r="S164" s="13"/>
    </row>
    <row r="165" spans="1:19">
      <c r="A165" s="4">
        <v>165</v>
      </c>
      <c r="B165" s="17"/>
      <c r="C165" s="5" t="str">
        <f>HYPERLINK(tab_alap[[#This Row],[Link]], "Megnyitás ↗")</f>
        <v>Megnyitás ↗</v>
      </c>
      <c r="G165" s="4" t="e">
        <f>tab_alap[[#This Row],[Ár]]/tab_alap[[#This Row],[Nm]]</f>
        <v>#DIV/0!</v>
      </c>
      <c r="H165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5" s="5" t="str">
        <f>HYPERLINK("https://www.google.com/maps/search/?api=1&amp;query=" &amp; tab_alap[[#This Row],[Y]] &amp; "," &amp; tab_alap[[#This Row],[X]], "Megnyitás")</f>
        <v>Megnyitás</v>
      </c>
      <c r="K165" s="18" t="b">
        <v>0</v>
      </c>
      <c r="L165" s="4"/>
      <c r="M165" s="4" t="str">
        <f>LEFT(tab_alap[[#This Row],[állapot]],1) &amp; tab_alap[[#This Row],[Térképjelölés]]</f>
        <v/>
      </c>
      <c r="N165" s="19" t="str">
        <f>_xlfn.XLOOKUP(tab_alap[[#This Row],[azonosito]], Koordinatak[azonosito_1], Koordinatak[X_1], "-")</f>
        <v>-</v>
      </c>
      <c r="O165" s="4" t="str">
        <f>_xlfn.XLOOKUP(tab_alap[[#This Row],[azonosito]], Koordinatak[azonosito_1], Koordinatak[Y_1], "-")</f>
        <v>-</v>
      </c>
      <c r="Q165" s="13"/>
      <c r="R165" s="13"/>
      <c r="S165" s="13"/>
    </row>
    <row r="166" spans="1:19">
      <c r="A166" s="4">
        <v>166</v>
      </c>
      <c r="B166" s="17"/>
      <c r="C166" s="5" t="str">
        <f>HYPERLINK(tab_alap[[#This Row],[Link]], "Megnyitás ↗")</f>
        <v>Megnyitás ↗</v>
      </c>
      <c r="G166" s="4" t="e">
        <f>tab_alap[[#This Row],[Ár]]/tab_alap[[#This Row],[Nm]]</f>
        <v>#DIV/0!</v>
      </c>
      <c r="H166" t="e">
        <f>_xlfn.NUMBERVALUE(MID(LEFT(tab_alap[[#This Row],[Link]], FIND("{token}", SUBSTITUTE(tab_alap[[#This Row],[Link]], "-", "{token}", LEN(tab_alap[[#This Row],[Link]]) - LEN(SUBSTITUTE(tab_alap[[#This Row],[Link]], "-", "")) - 1)) - 1), FIND("{token}", SUBSTITUTE(tab_alap[[#This Row],[Link]], "-", "{token}", LEN(tab_alap[[#This Row],[Link]]) - LEN(SUBSTITUTE(tab_alap[[#This Row],[Link]], "-", "")) - 2)), LEN(tab_alap[[#This Row],[Link]])), ",", " ") * -1</f>
        <v>#VALUE!</v>
      </c>
      <c r="J166" s="5" t="str">
        <f>HYPERLINK("https://www.google.com/maps/search/?api=1&amp;query=" &amp; tab_alap[[#This Row],[Y]] &amp; "," &amp; tab_alap[[#This Row],[X]], "Megnyitás")</f>
        <v>Megnyitás</v>
      </c>
      <c r="K166" s="18" t="b">
        <v>0</v>
      </c>
      <c r="L166" s="4"/>
      <c r="M166" s="4" t="str">
        <f>LEFT(tab_alap[[#This Row],[állapot]],1) &amp; tab_alap[[#This Row],[Térképjelölés]]</f>
        <v/>
      </c>
      <c r="N166" s="19" t="str">
        <f>_xlfn.XLOOKUP(tab_alap[[#This Row],[azonosito]], Koordinatak[azonosito_1], Koordinatak[X_1], "-")</f>
        <v>-</v>
      </c>
      <c r="O166" s="4" t="str">
        <f>_xlfn.XLOOKUP(tab_alap[[#This Row],[azonosito]], Koordinatak[azonosito_1], Koordinatak[Y_1], "-")</f>
        <v>-</v>
      </c>
      <c r="Q166" s="13"/>
      <c r="R166" s="13"/>
      <c r="S166" s="13"/>
    </row>
    <row r="167" spans="1:19">
      <c r="B167" s="17"/>
      <c r="C167" s="5"/>
    </row>
    <row r="168" spans="1:19">
      <c r="B168" s="17"/>
      <c r="C168" s="5"/>
    </row>
    <row r="169" spans="1:19">
      <c r="B169" s="17"/>
      <c r="C169" s="5"/>
    </row>
    <row r="170" spans="1:19">
      <c r="B170" s="17"/>
      <c r="C170" s="5"/>
    </row>
    <row r="171" spans="1:19">
      <c r="B171" s="17"/>
      <c r="C171" s="5"/>
    </row>
    <row r="172" spans="1:19">
      <c r="B172" s="17"/>
      <c r="C172" s="5"/>
    </row>
    <row r="173" spans="1:19">
      <c r="B173" s="17"/>
      <c r="C173" s="5"/>
      <c r="E173" s="9"/>
    </row>
    <row r="174" spans="1:19">
      <c r="B174" s="17"/>
      <c r="C174" s="5"/>
      <c r="E174" s="9"/>
    </row>
    <row r="175" spans="1:19">
      <c r="C175" s="5"/>
      <c r="E175" s="9"/>
    </row>
    <row r="176" spans="1:19">
      <c r="C176" s="5"/>
      <c r="E176" s="9"/>
    </row>
    <row r="177" spans="1:5">
      <c r="E177" s="9"/>
    </row>
    <row r="178" spans="1:5">
      <c r="A178" s="6" t="s">
        <v>674</v>
      </c>
      <c r="B178" s="8">
        <f>AVERAGEIF(tab_alap[szobaszám],1,tab_alap[Ár/nm])</f>
        <v>1623.1376942876943</v>
      </c>
    </row>
    <row r="179" spans="1:5">
      <c r="A179" s="7" t="s">
        <v>675</v>
      </c>
      <c r="B179" s="8">
        <f>AVERAGEIF(tab_alap[szobaszám],2,tab_alap[Ár/nm])</f>
        <v>1414.3236594849789</v>
      </c>
    </row>
    <row r="180" spans="1:5">
      <c r="A180" s="6" t="s">
        <v>676</v>
      </c>
      <c r="B180" s="8">
        <f>AVERAGEIF(tab_alap[szobaszám],3,tab_alap[Ár/nm])</f>
        <v>1270.6313652853889</v>
      </c>
    </row>
    <row r="181" spans="1:5">
      <c r="A181" s="6" t="s">
        <v>677</v>
      </c>
      <c r="B181" s="8">
        <f>AVERAGEIF(tab_alap[szobaszám],4,tab_alap[Ár/nm])</f>
        <v>1460.3441507739178</v>
      </c>
    </row>
    <row r="183" spans="1:5">
      <c r="A183" s="8" t="s">
        <v>678</v>
      </c>
      <c r="B183" s="11">
        <f>AVERAGEIF(tab_alap[állapot],"jó",tab_alap[Ár/nm])</f>
        <v>1529.5199316655717</v>
      </c>
      <c r="D183" t="s">
        <v>679</v>
      </c>
      <c r="E183" s="9">
        <f xml:space="preserve">
(
AVERAGEIFS(tab_alap[Ár/nm],tab_alap[állapot],"jó",tab_alap[szobaszám],2)
*
COUNTIFS(tab_alap[állapot],"jó",tab_alap[szobaszám],2)
+
AVERAGEIFS(tab_alap[Ár/nm],tab_alap[állapot],"jó",tab_alap[szobaszám],3)
*
COUNTIFS(tab_alap[állapot],"jó",tab_alap[szobaszám],3)
)
/
(
COUNTIFS(tab_alap[állapot],"jó",tab_alap[szobaszám],2)
+
COUNTIFS(tab_alap[állapot],"jó",tab_alap[szobaszám],3)
)</f>
        <v>1503.3269875106366</v>
      </c>
    </row>
    <row r="184" spans="1:5">
      <c r="A184" s="8" t="s">
        <v>680</v>
      </c>
      <c r="B184" s="12">
        <f>AVERAGEIF(tab_alap[állapot],"felújítandó",tab_alap[Ár/nm])</f>
        <v>1315.6353637782595</v>
      </c>
      <c r="D184" t="s">
        <v>679</v>
      </c>
      <c r="E184" s="9">
        <f xml:space="preserve">
(
AVERAGEIFS(tab_alap[Ár/nm],tab_alap[állapot],"felújítandó",tab_alap[szobaszám],2)
*
COUNTIFS(tab_alap[állapot],"felújítandó",tab_alap[szobaszám],2)
+
AVERAGEIFS(tab_alap[Ár/nm],tab_alap[állapot],"felújítandó",tab_alap[szobaszám],3)
*
COUNTIFS(tab_alap[állapot],"felújítandó",tab_alap[szobaszám],3)
)
/
(
COUNTIFS(tab_alap[állapot],"felújítandó",tab_alap[szobaszám],2)
+
COUNTIFS(tab_alap[állapot],"felújítandó",tab_alap[szobaszám],3)
)</f>
        <v>1278.8458091098703</v>
      </c>
    </row>
    <row r="185" spans="1:5">
      <c r="A185" s="10" t="s">
        <v>681</v>
      </c>
      <c r="B185" s="12">
        <f>AVERAGEIF(tab_alap[állapot],"részbenfel",tab_alap[Ár/nm])</f>
        <v>1368.7886174743005</v>
      </c>
      <c r="D185" t="s">
        <v>679</v>
      </c>
      <c r="E185" s="9">
        <f xml:space="preserve">
(
AVERAGEIFS(tab_alap[Ár/nm],tab_alap[állapot],"részbenfel",tab_alap[szobaszám],2)
*
COUNTIFS(tab_alap[állapot],"részbenfel",tab_alap[szobaszám],2)
+
AVERAGEIFS(tab_alap[Ár/nm],tab_alap[állapot],"részbenfel",tab_alap[szobaszám],3)
*
COUNTIFS(tab_alap[állapot],"részbenfel",tab_alap[szobaszám],3)
)
/
(
COUNTIFS(tab_alap[állapot],"részbenfel",tab_alap[szobaszám],2)
+
COUNTIFS(tab_alap[állapot],"részbenfel",tab_alap[szobaszám],3)
)</f>
        <v>1337.9722757479285</v>
      </c>
    </row>
    <row r="186" spans="1:5">
      <c r="E186" s="9"/>
    </row>
    <row r="187" spans="1:5">
      <c r="E187" s="9"/>
    </row>
    <row r="188" spans="1:5">
      <c r="E188" s="9"/>
    </row>
    <row r="189" spans="1:5">
      <c r="E189" s="9"/>
    </row>
    <row r="190" spans="1:5">
      <c r="E190" s="9"/>
    </row>
    <row r="191" spans="1:5">
      <c r="E191" s="9"/>
    </row>
    <row r="192" spans="1:5">
      <c r="E192" s="9"/>
    </row>
    <row r="193" spans="5:5">
      <c r="E193" s="9"/>
    </row>
    <row r="194" spans="5:5">
      <c r="E194" s="9"/>
    </row>
    <row r="195" spans="5:5">
      <c r="E195" s="9"/>
    </row>
    <row r="196" spans="5:5">
      <c r="E196" s="9"/>
    </row>
    <row r="197" spans="5:5">
      <c r="E197" s="9"/>
    </row>
    <row r="198" spans="5:5">
      <c r="E198" s="9"/>
    </row>
    <row r="199" spans="5:5">
      <c r="E199" s="9"/>
    </row>
    <row r="200" spans="5:5">
      <c r="E200" s="9"/>
    </row>
    <row r="201" spans="5:5">
      <c r="E201" s="9"/>
    </row>
    <row r="202" spans="5:5">
      <c r="E202" s="9"/>
    </row>
    <row r="203" spans="5:5">
      <c r="E203" s="9"/>
    </row>
    <row r="204" spans="5:5">
      <c r="E204" s="9"/>
    </row>
    <row r="205" spans="5:5">
      <c r="E205" s="9"/>
    </row>
    <row r="206" spans="5:5">
      <c r="E206" s="9"/>
    </row>
    <row r="207" spans="5:5">
      <c r="E207" s="9"/>
    </row>
    <row r="208" spans="5:5">
      <c r="E208" s="9"/>
    </row>
    <row r="209" spans="5:5">
      <c r="E209" s="9"/>
    </row>
    <row r="210" spans="5:5">
      <c r="E210" s="9"/>
    </row>
    <row r="211" spans="5:5">
      <c r="E211" s="9"/>
    </row>
    <row r="212" spans="5:5">
      <c r="E212" s="9"/>
    </row>
    <row r="213" spans="5:5">
      <c r="E213" s="9"/>
    </row>
    <row r="214" spans="5:5">
      <c r="E214" s="9"/>
    </row>
  </sheetData>
  <conditionalFormatting sqref="A3:P166 A2:M2 O2:P2">
    <cfRule type="expression" dxfId="15" priority="2">
      <formula>INDIRECT("tab_alap[@eladva]")=TRUE</formula>
    </cfRule>
  </conditionalFormatting>
  <conditionalFormatting sqref="B2:B166">
    <cfRule type="duplicateValues" dxfId="14" priority="1"/>
  </conditionalFormatting>
  <hyperlinks>
    <hyperlink ref="B3" r:id="rId1" xr:uid="{CF167812-C1DE-48A0-83C9-DBE3A465F8A4}"/>
    <hyperlink ref="B4" r:id="rId2" xr:uid="{D8B1B5A4-5F99-4C39-B773-20BBB9DC333F}"/>
    <hyperlink ref="B5" r:id="rId3" xr:uid="{EE7FCDC3-0D37-40BD-8BD7-C263E5DF460F}"/>
    <hyperlink ref="B6" r:id="rId4" xr:uid="{7C9EFB31-D3B3-4C4A-AAAE-9684A302834F}"/>
    <hyperlink ref="B7" r:id="rId5" xr:uid="{7C37DD32-60B5-4AB0-AD85-2911575FE1C1}"/>
    <hyperlink ref="B8" r:id="rId6" xr:uid="{547DC3E5-162D-4252-A440-33466B319715}"/>
    <hyperlink ref="B9" r:id="rId7" xr:uid="{C145560B-C320-40B2-B722-4797A1029416}"/>
    <hyperlink ref="B10" r:id="rId8" xr:uid="{5E381C18-DA77-42C5-BF38-EA1BD341D8B1}"/>
    <hyperlink ref="B11" r:id="rId9" xr:uid="{E9DF46E7-A523-4527-95CC-B97B77E010E5}"/>
    <hyperlink ref="B12" r:id="rId10" xr:uid="{FA87589E-7162-44B1-9324-34D1AD6E32A8}"/>
    <hyperlink ref="B13" r:id="rId11" xr:uid="{EAA827B9-D5FA-44F4-8076-AF9AFF110115}"/>
    <hyperlink ref="B14" r:id="rId12" xr:uid="{022DE8C1-0E14-47C0-AE9A-4216AEC25E77}"/>
    <hyperlink ref="B15" r:id="rId13" xr:uid="{DD41FFF2-C55D-44D4-A7BA-F0B4CD10FB02}"/>
    <hyperlink ref="B16" r:id="rId14" xr:uid="{2635005C-EC18-4E6F-8016-4E50E77F48BA}"/>
    <hyperlink ref="B17" r:id="rId15" xr:uid="{31452E12-E349-488B-AB04-6504661A4A65}"/>
    <hyperlink ref="B18" r:id="rId16" xr:uid="{85B31B36-FB8E-4DE2-8380-160A4CBB02B5}"/>
    <hyperlink ref="B19" r:id="rId17" xr:uid="{1DF97A28-1015-4614-A7E6-23053E31D316}"/>
    <hyperlink ref="B20" r:id="rId18" xr:uid="{BB48D8EA-9D08-4FA9-8C39-041EF0534BBB}"/>
    <hyperlink ref="B21" r:id="rId19" xr:uid="{DA0E3F1F-AE2D-41F1-8996-AEBDECC23249}"/>
    <hyperlink ref="B22" r:id="rId20" xr:uid="{A81F3C6E-EBA4-473B-AA86-E91E270C8300}"/>
    <hyperlink ref="B23" r:id="rId21" xr:uid="{4124850A-4DB8-413C-B54A-E378BA44E9EF}"/>
    <hyperlink ref="B24" r:id="rId22" xr:uid="{E6106BA5-7E7A-443C-B7B9-927F48F7461F}"/>
    <hyperlink ref="B25" r:id="rId23" xr:uid="{FB43EF48-E666-4FAB-ADF9-7FB4EC4C314E}"/>
    <hyperlink ref="B26" r:id="rId24" xr:uid="{6A4E7706-1826-4CF5-B9E7-8966050ABBD3}"/>
    <hyperlink ref="B27" r:id="rId25" xr:uid="{A62AAA89-4DD2-4F2C-B8E6-B5B0CC24496B}"/>
    <hyperlink ref="B28" r:id="rId26" xr:uid="{60CD7978-F79D-4B4D-85E6-94250C39A8B3}"/>
    <hyperlink ref="B29" r:id="rId27" xr:uid="{FE2DFB88-6A75-414D-83E9-31B0AA061273}"/>
    <hyperlink ref="B30" r:id="rId28" xr:uid="{2A144E3D-FE93-4A53-9EBA-E0D40DA35D8B}"/>
    <hyperlink ref="B31" r:id="rId29" xr:uid="{740BC2EF-61D1-4B81-8FBD-7415925BDBA7}"/>
    <hyperlink ref="B32" r:id="rId30" xr:uid="{2924687F-6C75-4667-A722-BE5E19867A40}"/>
    <hyperlink ref="B33" r:id="rId31" xr:uid="{C0246E31-C175-4C07-9E61-482C06CC6066}"/>
    <hyperlink ref="B34" r:id="rId32" xr:uid="{EBF4E404-D6E9-4AC4-93BE-7D7CD4153A37}"/>
    <hyperlink ref="B35" r:id="rId33" xr:uid="{9E3A73D2-8A73-459E-8CD4-A484EC4D0EAC}"/>
    <hyperlink ref="B36" r:id="rId34" xr:uid="{53FF03BC-93CE-4B8F-A0A3-67F40111DE07}"/>
    <hyperlink ref="B37" r:id="rId35" xr:uid="{280D6446-A7C3-4DC9-AFEC-8E97F4B98FC0}"/>
    <hyperlink ref="B38" r:id="rId36" xr:uid="{9E55356B-869C-423D-B7B4-8B9C15C36026}"/>
    <hyperlink ref="B39" r:id="rId37" xr:uid="{D27BC561-0927-482D-8557-94D856A704DE}"/>
    <hyperlink ref="B40" r:id="rId38" xr:uid="{E48F2040-A4C7-4F8D-8272-428894F91E7A}"/>
    <hyperlink ref="B41" r:id="rId39" xr:uid="{04475C1F-393F-4898-8B72-6D16BAE7DB6E}"/>
    <hyperlink ref="B42" r:id="rId40" xr:uid="{AFB5DAB3-2519-49A9-89CC-5B76F676C524}"/>
    <hyperlink ref="B43" r:id="rId41" xr:uid="{D91803B4-A1EA-47E9-AD5D-F5CCCB1C60EB}"/>
    <hyperlink ref="B44" r:id="rId42" xr:uid="{AF0D9DDC-8414-4ED0-A3B1-912FF4140918}"/>
    <hyperlink ref="B45" r:id="rId43" xr:uid="{36A580C5-FB48-4400-8D45-30F8F78BC738}"/>
    <hyperlink ref="B46" r:id="rId44" xr:uid="{F84BFE2C-112F-4883-AFC0-FEB0EF8282A9}"/>
    <hyperlink ref="B47" r:id="rId45" xr:uid="{468CA502-6BA1-4680-8C2B-0674AF5B3C9F}"/>
    <hyperlink ref="B48" r:id="rId46" xr:uid="{734A7BF6-01AC-4707-B576-D5FDD7E9E156}"/>
    <hyperlink ref="B49" r:id="rId47" xr:uid="{77016C9A-FB93-4655-AC62-F998C5506497}"/>
    <hyperlink ref="B50" r:id="rId48" xr:uid="{F3585B4D-F1B2-4203-83C9-0F3C3E3E6B6A}"/>
    <hyperlink ref="B51" r:id="rId49" xr:uid="{7C5C798F-9E6D-4C0E-8A1E-135A70E09CC7}"/>
    <hyperlink ref="B52" r:id="rId50" xr:uid="{03C524DF-AEF3-4CD6-913F-1E86167C47B8}"/>
    <hyperlink ref="B53" r:id="rId51" xr:uid="{D2E7C2E7-9E13-446E-9FDC-78630C1E6FA8}"/>
    <hyperlink ref="B54" r:id="rId52" xr:uid="{79CECBD8-8C9F-4CB8-A96B-740BDF1FEE54}"/>
    <hyperlink ref="B55" r:id="rId53" xr:uid="{92C65760-D915-4E4D-8DEC-C4A8298829DE}"/>
    <hyperlink ref="B56" r:id="rId54" xr:uid="{94FF5B44-EB73-4C77-80D9-FD05BDF2153C}"/>
    <hyperlink ref="B57" r:id="rId55" xr:uid="{37A1FC64-9122-41DB-B6E2-2CDD3AE45115}"/>
    <hyperlink ref="B58" r:id="rId56" xr:uid="{8C12C862-D115-4F0F-A849-57F0BF30D8C4}"/>
    <hyperlink ref="B59" r:id="rId57" xr:uid="{53E66239-D5CC-41F8-95BA-5587D65F63D1}"/>
    <hyperlink ref="B60" r:id="rId58" xr:uid="{2FAEE815-B8E3-405E-88E5-3F7F4C72E71C}"/>
    <hyperlink ref="B61" r:id="rId59" xr:uid="{E318A8BC-BE7F-49E2-9811-B7F3EDB2F545}"/>
    <hyperlink ref="B62" r:id="rId60" xr:uid="{E63CD612-1991-4CE1-AC81-E6B43F3A8D9B}"/>
    <hyperlink ref="B63" r:id="rId61" xr:uid="{3830C86B-7683-4712-907C-E930CE14398D}"/>
    <hyperlink ref="B64" r:id="rId62" xr:uid="{99EC0F28-1FEA-481A-A5DD-9A2F3006F644}"/>
    <hyperlink ref="B65" r:id="rId63" xr:uid="{968C3E3B-43F4-41C4-8DCA-E0BA00A2CB02}"/>
    <hyperlink ref="B66" r:id="rId64" xr:uid="{D07DFAEB-F171-4421-87F2-1DF233377209}"/>
    <hyperlink ref="B67" r:id="rId65" xr:uid="{D22BB560-A994-4E28-BACE-EAFF2B57C575}"/>
    <hyperlink ref="B68" r:id="rId66" xr:uid="{225208CF-0DB3-40D7-91C0-24B28F69BCC1}"/>
    <hyperlink ref="B69" r:id="rId67" xr:uid="{69577C1D-EED1-4FAE-8FAE-C3C144461CD5}"/>
    <hyperlink ref="B70" r:id="rId68" xr:uid="{0F22D2D3-D81F-4C43-BB73-FB32CE539689}"/>
    <hyperlink ref="B71" r:id="rId69" xr:uid="{23971A5E-EA9B-47E9-9B58-6C60738AAF8D}"/>
    <hyperlink ref="B72" r:id="rId70" xr:uid="{0ABA8217-480F-4983-8F88-98C7CB59626A}"/>
    <hyperlink ref="B73" r:id="rId71" xr:uid="{97AB5DAE-14C9-425B-AC0A-3753C39CA198}"/>
    <hyperlink ref="B74" r:id="rId72" xr:uid="{142E988D-E669-4CDD-A19A-6B13F20F0BB7}"/>
    <hyperlink ref="B75" r:id="rId73" xr:uid="{CA4A50A9-ED71-4417-85B1-72BD8F1D4301}"/>
    <hyperlink ref="B76" r:id="rId74" xr:uid="{149A5623-A8C1-48E4-A49A-468C73F910B3}"/>
    <hyperlink ref="B77" r:id="rId75" xr:uid="{67E6C991-55C1-4909-9CBE-EAB945A47D11}"/>
    <hyperlink ref="B78" r:id="rId76" xr:uid="{986C2735-AA04-4668-9BA9-F713FD27C601}"/>
    <hyperlink ref="B79" r:id="rId77" xr:uid="{7DD778F3-E1D6-4D96-887B-C7FCB75E77A2}"/>
    <hyperlink ref="B80" r:id="rId78" xr:uid="{9EB78776-C6C8-47CF-BCDC-0BECF0AA5DE1}"/>
    <hyperlink ref="B81" r:id="rId79" xr:uid="{7BA85298-1B90-4BF3-8EC2-F8A053CDD102}"/>
    <hyperlink ref="B82" r:id="rId80" xr:uid="{5EB7BECE-58E3-4087-AB57-6ACF93051C31}"/>
    <hyperlink ref="B83" r:id="rId81" xr:uid="{EC84F7A5-1B4A-423D-B7BC-77BBE1D6C7BB}"/>
    <hyperlink ref="B84" r:id="rId82" xr:uid="{BF6BDDED-02A6-4ACD-A4CA-B8ECDA553E52}"/>
    <hyperlink ref="B85" r:id="rId83" xr:uid="{2757FE1A-3841-40DA-8082-CE5155AA7945}"/>
    <hyperlink ref="B86" r:id="rId84" xr:uid="{F76679B8-0148-4A3A-BEA8-A15FE93E1742}"/>
    <hyperlink ref="B87" r:id="rId85" xr:uid="{18A3703B-A933-4AC5-9E6E-CE7D6D9BE0D4}"/>
    <hyperlink ref="B88" r:id="rId86" xr:uid="{DDEAD0A8-A64E-4644-BA54-9366E22A7412}"/>
    <hyperlink ref="B89" r:id="rId87" xr:uid="{971B2431-AA5D-4E22-B60B-EDE951884CDB}"/>
    <hyperlink ref="B90" r:id="rId88" xr:uid="{D49A60AC-5194-4E64-9E55-A1F0EA3A866A}"/>
    <hyperlink ref="B91" r:id="rId89" xr:uid="{FC95C80C-5913-4E78-B5AD-68ADB877292D}"/>
    <hyperlink ref="B92" r:id="rId90" xr:uid="{4BD9482C-5F8E-4ADE-8257-1602BC2DE9B5}"/>
    <hyperlink ref="B93" r:id="rId91" xr:uid="{1E38A62F-5A05-4A8E-8009-889B1E6FEBAE}"/>
    <hyperlink ref="B94" r:id="rId92" xr:uid="{814ED44D-050D-4548-BD2C-452AED8F586E}"/>
    <hyperlink ref="B95" r:id="rId93" xr:uid="{99B2AFA7-AA1F-4238-B5ED-3C57C21DBD86}"/>
    <hyperlink ref="B96" r:id="rId94" xr:uid="{1DA71DDF-9B60-4160-990B-5CC4BD8D832A}"/>
    <hyperlink ref="B97" r:id="rId95" xr:uid="{974E1FEB-EE82-4427-B4FE-283FC1F4A2C3}"/>
    <hyperlink ref="B98" r:id="rId96" xr:uid="{B373AAB8-E3C0-475F-9DD8-47C62A814FE1}"/>
    <hyperlink ref="B99" r:id="rId97" xr:uid="{DFA8FEBE-1C8D-4223-A9DC-ADEFB397450C}"/>
    <hyperlink ref="B100" r:id="rId98" xr:uid="{17611533-5439-450E-B398-5024C3EDBED6}"/>
    <hyperlink ref="B101" r:id="rId99" xr:uid="{546F0F4B-1DE2-4C98-994A-2BED015C72CB}"/>
    <hyperlink ref="B102" r:id="rId100" xr:uid="{3A72901A-9A7A-4077-A159-CF0A10240263}"/>
    <hyperlink ref="B103" r:id="rId101" xr:uid="{483C733C-2053-4891-BF81-1B36E2C04BD0}"/>
    <hyperlink ref="B104" r:id="rId102" xr:uid="{386804CA-CE74-4618-AD3D-4FE636C909FD}"/>
    <hyperlink ref="B105" r:id="rId103" xr:uid="{C0AEC826-C19B-4E20-8A8F-EE476413B10C}"/>
    <hyperlink ref="B106" r:id="rId104" xr:uid="{6C56638D-136C-4736-B5AB-CE93C689B06E}"/>
    <hyperlink ref="B107" r:id="rId105" xr:uid="{DF77FBF6-40AD-4D58-945A-8D0D657AC695}"/>
    <hyperlink ref="B108" r:id="rId106" xr:uid="{5C8E5C6A-1288-4C49-933A-12A413AA68BA}"/>
    <hyperlink ref="B109" r:id="rId107" xr:uid="{6E721ED6-E4F6-4F9F-AFAD-6080C9FF8162}"/>
    <hyperlink ref="B110" r:id="rId108" xr:uid="{A8337FF8-4248-4406-8267-DBDA3E16686A}"/>
    <hyperlink ref="B111" r:id="rId109" xr:uid="{F1872EB7-7259-4981-83C6-CFD15810CC5E}"/>
    <hyperlink ref="B112" r:id="rId110" xr:uid="{4BB9EDC7-8826-4D13-8728-9DCDC86A9255}"/>
    <hyperlink ref="B113" r:id="rId111" xr:uid="{273A5550-6D53-49F9-8E10-531143D7B0CF}"/>
    <hyperlink ref="B114" r:id="rId112" xr:uid="{DAB825F5-37CE-4B22-8368-CD242EBE414D}"/>
    <hyperlink ref="B115" r:id="rId113" xr:uid="{DDFB5DAF-8C0D-43B8-AF0D-42ED6867CD23}"/>
    <hyperlink ref="B116" r:id="rId114" xr:uid="{E78C93B6-3E17-483E-B856-D247C0349040}"/>
    <hyperlink ref="B117" r:id="rId115" xr:uid="{91DA5BC7-01B1-4950-97BB-8FB5F1B657EA}"/>
    <hyperlink ref="B118" r:id="rId116" xr:uid="{72F4E320-8C9D-48AB-9B6A-6AACC09A4794}"/>
    <hyperlink ref="B119" r:id="rId117" xr:uid="{7D5B5ACA-AEAA-47D5-A939-2BDAB2A20DBA}"/>
    <hyperlink ref="B120" r:id="rId118" xr:uid="{7E4C0400-0755-49CB-98D6-96CEB0138862}"/>
    <hyperlink ref="B121" r:id="rId119" xr:uid="{02F5D4E5-7AFA-4A94-9531-CB5F7C834B71}"/>
    <hyperlink ref="B122" r:id="rId120" xr:uid="{A8438042-0DE4-45CA-9162-3D4F258D6DF7}"/>
    <hyperlink ref="B123" r:id="rId121" xr:uid="{4C5F515C-9E55-415E-9DBB-6F0A3D6CEC79}"/>
    <hyperlink ref="B124" r:id="rId122" xr:uid="{6593C025-3AE8-4C09-AC7D-8DB133A83DCD}"/>
    <hyperlink ref="B125" r:id="rId123" xr:uid="{FFE6F5EB-14AB-43DE-AD72-4A60540B886B}"/>
    <hyperlink ref="B126" r:id="rId124" xr:uid="{757C18C4-DBE3-464F-9C94-AA6D7844A8A1}"/>
    <hyperlink ref="B127" r:id="rId125" xr:uid="{BD871ED2-7BE1-4A98-82BA-BC63D6EC5398}"/>
    <hyperlink ref="B128" r:id="rId126" xr:uid="{C086757B-A6D1-4A46-B166-9B25FE6D5866}"/>
    <hyperlink ref="B129" r:id="rId127" xr:uid="{D5C19FFE-6D99-4F01-B9B6-0D0153DCACE3}"/>
    <hyperlink ref="B130" r:id="rId128" xr:uid="{85A981A4-18CE-49AA-86E0-7A387E4278D0}"/>
    <hyperlink ref="B131" r:id="rId129" xr:uid="{7ECF5ECB-BEFC-4C5C-A3C7-B09CB5B2849B}"/>
    <hyperlink ref="B132" r:id="rId130" xr:uid="{C88AFE21-DAC0-4FB5-BE9A-5A68B69EF4ED}"/>
    <hyperlink ref="B133" r:id="rId131" xr:uid="{D00C128A-7BA5-4B33-8D44-64503B36A510}"/>
    <hyperlink ref="B134" r:id="rId132" xr:uid="{D02BBBDF-D487-4589-9254-A83761102C14}"/>
    <hyperlink ref="B135" r:id="rId133" xr:uid="{123CAE05-5598-4EDE-A689-531FCCC82D00}"/>
    <hyperlink ref="B136" r:id="rId134" xr:uid="{CF95BD67-11E8-4BFD-B2D6-26E391C96AAD}"/>
    <hyperlink ref="B137" r:id="rId135" xr:uid="{7FC92EFD-9F59-467E-A1F8-EBE138031E8F}"/>
    <hyperlink ref="B138" r:id="rId136" xr:uid="{4AEF89CC-E47D-4E72-8E70-A3C9411F4B69}"/>
    <hyperlink ref="B139" r:id="rId137" xr:uid="{D6935F43-4978-4877-9036-61580BDD55F1}"/>
    <hyperlink ref="B140" r:id="rId138" xr:uid="{1583BC09-62F1-4DC8-A6E4-B564BF946A5A}"/>
    <hyperlink ref="B141" r:id="rId139" xr:uid="{F9AE1871-8F0F-4B6F-B420-B95B3226ED78}"/>
    <hyperlink ref="B142" r:id="rId140" xr:uid="{84965CB0-07D7-4BAC-886E-10CADC4E2628}"/>
    <hyperlink ref="B143" r:id="rId141" xr:uid="{B8C4F4DB-0DA5-436F-9969-F4187EEA5F6F}"/>
    <hyperlink ref="B144" r:id="rId142" xr:uid="{922F2E16-F7D4-44A7-9E10-EFFF4E97AB7B}"/>
    <hyperlink ref="B145" r:id="rId143" xr:uid="{264E285A-97A4-4D7F-82AD-C2F96E52F7A9}"/>
    <hyperlink ref="B146" r:id="rId144" xr:uid="{BBE9FE4C-EB3B-49F3-BC20-3D4F59788729}"/>
    <hyperlink ref="B148" r:id="rId145" xr:uid="{5F47D360-B34B-4BB4-B487-3A8F3D555935}"/>
    <hyperlink ref="B149" r:id="rId146" xr:uid="{5C1B4633-9B83-429D-A5C7-371C679C00B0}"/>
    <hyperlink ref="B147" r:id="rId147" xr:uid="{CD597154-B214-4ECD-96F3-0D974033D257}"/>
    <hyperlink ref="B150" r:id="rId148" xr:uid="{8C15E113-9B29-46B8-9668-774A3E33DCFE}"/>
    <hyperlink ref="B151" r:id="rId149" xr:uid="{DEAE3C50-E765-40AE-B400-339769D5925D}"/>
    <hyperlink ref="B152" r:id="rId150" xr:uid="{1FEFBFCE-104C-436B-AEF6-FA8EE718E0EE}"/>
    <hyperlink ref="B153" r:id="rId151" xr:uid="{DC878D5A-794C-47BD-BA58-1808C7DF7703}"/>
    <hyperlink ref="B154" r:id="rId152" xr:uid="{D0DF8ECA-68FD-4839-B3A6-153F92EEEF81}"/>
    <hyperlink ref="B155" r:id="rId153" xr:uid="{1FEBF439-0810-4EA4-8534-1021DA146A65}"/>
    <hyperlink ref="B2" r:id="rId154" xr:uid="{B38B96F4-FBA4-47BA-A095-50428B860145}"/>
  </hyperlinks>
  <pageMargins left="0.7" right="0.7" top="0.75" bottom="0.75" header="0.3" footer="0.3"/>
  <tableParts count="2">
    <tablePart r:id="rId155"/>
    <tablePart r:id="rId1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D9B9-60EA-42B2-8902-64C5C615D3DD}">
  <dimension ref="A1"/>
  <sheetViews>
    <sheetView workbookViewId="0">
      <selection sqref="A1:N15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2026-06-25T12:49:53Z</dcterms:created>
  <dcterms:modified xsi:type="dcterms:W3CDTF">2026-07-16T18:48:31Z</dcterms:modified>
  <cp:category/>
  <cp:contentStatus/>
</cp:coreProperties>
</file>